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Usuário\Downloads\"/>
    </mc:Choice>
  </mc:AlternateContent>
  <xr:revisionPtr revIDLastSave="0" documentId="13_ncr:1_{DFCFBFAE-249B-4B48-A32C-BBC7E232496E}" xr6:coauthVersionLast="36" xr6:coauthVersionMax="47" xr10:uidLastSave="{00000000-0000-0000-0000-000000000000}"/>
  <bookViews>
    <workbookView xWindow="0" yWindow="0" windowWidth="20490" windowHeight="7425" xr2:uid="{00000000-000D-0000-FFFF-FFFF00000000}"/>
  </bookViews>
  <sheets>
    <sheet name="GASTOS" sheetId="5" r:id="rId1"/>
    <sheet name="Planilha5" sheetId="8" state="hidden" r:id="rId2"/>
  </sheets>
  <definedNames>
    <definedName name="_xlnm._FilterDatabase" localSheetId="0" hidden="1">GASTOS!$A$1:$V$131</definedName>
  </definedNames>
  <calcPr calcId="179021"/>
</workbook>
</file>

<file path=xl/calcChain.xml><?xml version="1.0" encoding="utf-8"?>
<calcChain xmlns="http://schemas.openxmlformats.org/spreadsheetml/2006/main">
  <c r="F3" i="5" l="1"/>
  <c r="F104" i="5"/>
  <c r="F102" i="5"/>
  <c r="H81" i="5"/>
  <c r="F81" i="5"/>
  <c r="F78" i="5"/>
  <c r="D102" i="5"/>
  <c r="F30" i="5" l="1"/>
  <c r="H30" i="5"/>
  <c r="D30" i="5"/>
</calcChain>
</file>

<file path=xl/sharedStrings.xml><?xml version="1.0" encoding="utf-8"?>
<sst xmlns="http://schemas.openxmlformats.org/spreadsheetml/2006/main" count="1716" uniqueCount="116">
  <si>
    <t>ALUGUEL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</si>
  <si>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</si>
  <si>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</si>
  <si>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</si>
  <si>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</si>
  <si>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</si>
  <si>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</si>
  <si>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</si>
  <si>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</si>
  <si>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</si>
  <si>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FARMACIA</t>
  </si>
  <si>
    <t>FEIRÃO DO CALÇADO</t>
  </si>
  <si>
    <t>JANEIRO</t>
  </si>
  <si>
    <t>AMAZONPRIME</t>
  </si>
  <si>
    <t>CLINICASAO</t>
  </si>
  <si>
    <t>SEM PARAR</t>
  </si>
  <si>
    <t>PNEU</t>
  </si>
  <si>
    <t>BIOSTEVI</t>
  </si>
  <si>
    <t>MERCADO</t>
  </si>
  <si>
    <t>WIPINK</t>
  </si>
  <si>
    <t>MILIUM</t>
  </si>
  <si>
    <t>DIESEL</t>
  </si>
  <si>
    <t>PENSÃO</t>
  </si>
  <si>
    <t>CONTA VIVO JU</t>
  </si>
  <si>
    <t>YOUTUBE</t>
  </si>
  <si>
    <t>GLOBOPLAY</t>
  </si>
  <si>
    <t>NATURA</t>
  </si>
  <si>
    <t xml:space="preserve">SHEIN </t>
  </si>
  <si>
    <t>APARELHOS ACAD</t>
  </si>
  <si>
    <t>CATEGORIA</t>
  </si>
  <si>
    <t>DESCRIÇÃO</t>
  </si>
  <si>
    <t>CALÇADO</t>
  </si>
  <si>
    <t>ACAD</t>
  </si>
  <si>
    <t>ASSINATURAS</t>
  </si>
  <si>
    <t>PERFUMARIA</t>
  </si>
  <si>
    <t>VETERINARIA</t>
  </si>
  <si>
    <t>CARRO</t>
  </si>
  <si>
    <t>SUPLEMENTOS</t>
  </si>
  <si>
    <t>UTILIDADES</t>
  </si>
  <si>
    <t>VIA LASER</t>
  </si>
  <si>
    <t>LASER</t>
  </si>
  <si>
    <t>ROUPAS</t>
  </si>
  <si>
    <t>MOTO</t>
  </si>
  <si>
    <t>AIRBNB</t>
  </si>
  <si>
    <t>LAZER</t>
  </si>
  <si>
    <t>CURSO</t>
  </si>
  <si>
    <t>MOVEIS</t>
  </si>
  <si>
    <t>ITAUSHOP</t>
  </si>
  <si>
    <t>COMBUSTIVEL</t>
  </si>
  <si>
    <t>DENTISTA</t>
  </si>
  <si>
    <t>ALIMENTAÇÃO</t>
  </si>
  <si>
    <t xml:space="preserve">PRIME </t>
  </si>
  <si>
    <t>BARBEARIA</t>
  </si>
  <si>
    <t>MERCADO LIVRE</t>
  </si>
  <si>
    <t>DIVERSOS</t>
  </si>
  <si>
    <t>CARTÃO WILL</t>
  </si>
  <si>
    <t>CARTÃO MERCADO LIVRE</t>
  </si>
  <si>
    <t>CARTÃO UNICLASS ITAÚ</t>
  </si>
  <si>
    <t>CARTÃO PJ ITAÚ</t>
  </si>
  <si>
    <t>CARTÃO ELO CAIXA</t>
  </si>
  <si>
    <t>IFFOD</t>
  </si>
  <si>
    <t>CASA DE CARNES</t>
  </si>
  <si>
    <t>MEMORIA</t>
  </si>
  <si>
    <t>ASSAÍ</t>
  </si>
  <si>
    <t>CONTA VIVO ALINE</t>
  </si>
  <si>
    <t>CONTA CELULAR</t>
  </si>
  <si>
    <t>CANVA</t>
  </si>
  <si>
    <t>ESPETINHO</t>
  </si>
  <si>
    <t>LINKEDIN</t>
  </si>
  <si>
    <t>DOCE</t>
  </si>
  <si>
    <t>PICPAY</t>
  </si>
  <si>
    <t>PARCELAMENTO</t>
  </si>
  <si>
    <t>RESTAURANTE</t>
  </si>
  <si>
    <t>BEAGLE</t>
  </si>
  <si>
    <t>CASA CORTINAS</t>
  </si>
  <si>
    <t>DOLCE GUSTO</t>
  </si>
  <si>
    <t>TIKTOK</t>
  </si>
  <si>
    <t>CARTÃO TODOS</t>
  </si>
  <si>
    <t>SERASA</t>
  </si>
  <si>
    <t>ACADEMIA</t>
  </si>
  <si>
    <t>IFOOD</t>
  </si>
  <si>
    <t>GASOLINA</t>
  </si>
  <si>
    <t>ROUPA</t>
  </si>
  <si>
    <t>QUIOSQUE</t>
  </si>
  <si>
    <t>MERCALIVRE</t>
  </si>
  <si>
    <t>JOHN JOHN</t>
  </si>
  <si>
    <t>CENTAURO</t>
  </si>
  <si>
    <t>AUTOGLASS</t>
  </si>
  <si>
    <t>EC SUPLEMENTO</t>
  </si>
  <si>
    <t>SOFA</t>
  </si>
  <si>
    <t>LEDZ</t>
  </si>
  <si>
    <t>CARTÃO VISA CAIXA</t>
  </si>
  <si>
    <t>UMIDIFICADOR</t>
  </si>
  <si>
    <t xml:space="preserve">PITOL </t>
  </si>
  <si>
    <t>SHOPE</t>
  </si>
  <si>
    <t>RELOJOARIA</t>
  </si>
  <si>
    <t>AMERICANAS</t>
  </si>
  <si>
    <t>CARTÃO</t>
  </si>
  <si>
    <t>MORADIA</t>
  </si>
  <si>
    <t>LUZ</t>
  </si>
  <si>
    <t>AGUA</t>
  </si>
  <si>
    <t>INTERNET</t>
  </si>
  <si>
    <t>ESCRITORIO</t>
  </si>
  <si>
    <t>IMPOSTO</t>
  </si>
  <si>
    <t>HAVAN</t>
  </si>
  <si>
    <t>C&amp;A</t>
  </si>
  <si>
    <t>EMPRESTIMO UNICLASS</t>
  </si>
  <si>
    <t>EMPRESTIMO PJ</t>
  </si>
  <si>
    <t>PARCELA CARRO</t>
  </si>
  <si>
    <t>PAG CC</t>
  </si>
  <si>
    <t>FIES</t>
  </si>
  <si>
    <t>IGREJA</t>
  </si>
  <si>
    <t>UNHA</t>
  </si>
  <si>
    <t xml:space="preserve">SIM </t>
  </si>
  <si>
    <t>NÃO</t>
  </si>
  <si>
    <t>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</si>
</sst>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name val="Calibri"/>
      <scheme val="minor"/>
    </font>
    <font>
      <sz val="11"/>
      <name val="Calibri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44" fontId="0" fillId="0" borderId="0" xfId="1" applyFont="1"/>
    <xf numFmtId="0" fontId="0" fillId="2" borderId="0" xfId="0" applyFill="1"/>
    <xf numFmtId="0" fontId="2" fillId="5" borderId="0" xfId="0" applyFont="1" applyFill="1"/>
    <xf numFmtId="0" fontId="2" fillId="0" borderId="0" xfId="0" applyFont="1"/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44" fontId="2" fillId="0" borderId="0" xfId="1" applyFont="1"/>
    <xf numFmtId="0" fontId="2" fillId="4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3" fillId="0" borderId="0" xfId="0" applyFont="1"/>
    <xf numFmtId="44" fontId="3" fillId="0" borderId="0" xfId="1" applyFont="1"/>
    <xf numFmtId="0" fontId="3" fillId="7" borderId="0" xfId="0" applyFont="1" applyFill="1" applyAlignment="1">
      <alignment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80E8A-DFE9-4D06-8EF3-E1572621EA74}">
  <dimension ref="A1:W131"/>
  <sheetViews>
    <sheetView tabSelected="1" zoomScale="80" zoomScaleNormal="80" workbookViewId="0">
      <selection activeCell="W1" sqref="W1"/>
    </sheetView>
  </sheetViews>
  <sheetFormatPr defaultRowHeight="15" x14ac:dyDescent="0.25"/>
  <cols>
    <col min="1" max="1" width="22.28515625" bestFit="1" customWidth="1"/>
    <col min="2" max="2" width="18.5703125" bestFit="1" customWidth="1"/>
    <col min="3" max="3" width="23.140625" bestFit="1" customWidth="1"/>
    <col min="4" max="4" width="13" style="1" bestFit="1" customWidth="1"/>
    <col min="5" max="5" width="13" style="1" customWidth="1"/>
    <col min="6" max="6" width="13" style="1" bestFit="1" customWidth="1"/>
    <col min="7" max="7" width="13" style="1" customWidth="1"/>
    <col min="8" max="8" width="13" style="1" bestFit="1" customWidth="1"/>
    <col min="9" max="9" width="13" style="1" customWidth="1"/>
    <col min="10" max="10" width="13" style="1" bestFit="1" customWidth="1"/>
    <col min="11" max="11" width="13" style="1" customWidth="1"/>
    <col min="12" max="12" width="13" style="1" bestFit="1" customWidth="1"/>
    <col min="13" max="13" width="13" style="1" customWidth="1"/>
    <col min="14" max="14" width="13" style="1" bestFit="1" customWidth="1"/>
    <col min="15" max="15" width="13" style="1" customWidth="1"/>
    <col min="16" max="16" width="13" style="1" bestFit="1" customWidth="1"/>
    <col min="17" max="17" width="13" style="1" customWidth="1"/>
    <col min="18" max="18" width="13.5703125" style="1" bestFit="1" customWidth="1"/>
    <col min="19" max="19" width="13.5703125" style="1" customWidth="1"/>
    <col min="20" max="20" width="13" style="1" bestFit="1" customWidth="1"/>
    <col min="21" max="21" width="13" style="1" customWidth="1"/>
    <col min="22" max="22" width="11.42578125" bestFit="1" customWidth="1"/>
  </cols>
  <sheetData>
    <row r="1" spans="1:23" x14ac:dyDescent="0.25">
      <c r="A1" s="5" t="s">
        <v>97</v>
      </c>
      <c r="B1" s="4" t="s">
        <v>30</v>
      </c>
      <c r="C1" s="4" t="s">
        <v>29</v>
      </c>
      <c r="D1" s="7" t="s">
        <v>1</v>
      </c>
      <c r="E1" s="7" t="s">
        <v>115</v>
      </c>
      <c r="F1" s="7" t="s">
        <v>2</v>
      </c>
      <c r="G1" s="7" t="s">
        <v>115</v>
      </c>
      <c r="H1" s="7" t="s">
        <v>3</v>
      </c>
      <c r="I1" s="7" t="s">
        <v>115</v>
      </c>
      <c r="J1" s="7" t="s">
        <v>4</v>
      </c>
      <c r="K1" s="7" t="s">
        <v>115</v>
      </c>
      <c r="L1" s="7" t="s">
        <v>5</v>
      </c>
      <c r="M1" s="7" t="s">
        <v>115</v>
      </c>
      <c r="N1" s="7" t="s">
        <v>6</v>
      </c>
      <c r="O1" s="7" t="s">
        <v>115</v>
      </c>
      <c r="P1" s="7" t="s">
        <v>7</v>
      </c>
      <c r="Q1" s="7" t="s">
        <v>115</v>
      </c>
      <c r="R1" s="7" t="s">
        <v>8</v>
      </c>
      <c r="S1" s="7" t="s">
        <v>115</v>
      </c>
      <c r="T1" s="7" t="s">
        <v>9</v>
      </c>
      <c r="U1" s="7" t="s">
        <v>115</v>
      </c>
      <c r="V1" s="7" t="s">
        <v>12</v>
      </c>
      <c r="W1" s="7" t="s">
        <v>115</v>
      </c>
    </row>
    <row r="2" spans="1:23" x14ac:dyDescent="0.25">
      <c r="A2" s="6" t="s">
        <v>57</v>
      </c>
      <c r="B2" t="s">
        <v>18</v>
      </c>
      <c r="C2" t="s">
        <v>18</v>
      </c>
      <c r="D2" s="1">
        <v>136.84</v>
      </c>
      <c r="E2" s="1" t="s">
        <v>113</v>
      </c>
      <c r="G2" s="1" t="s">
        <v>114</v>
      </c>
      <c r="I2" s="1" t="s">
        <v>114</v>
      </c>
      <c r="K2" s="1" t="s">
        <v>114</v>
      </c>
      <c r="M2" s="1" t="s">
        <v>114</v>
      </c>
      <c r="O2" s="1" t="s">
        <v>114</v>
      </c>
      <c r="Q2" s="1" t="s">
        <v>114</v>
      </c>
      <c r="S2" s="1" t="s">
        <v>114</v>
      </c>
      <c r="U2" s="1" t="s">
        <v>114</v>
      </c>
      <c r="W2" s="1" t="s">
        <v>114</v>
      </c>
    </row>
    <row r="3" spans="1:23" x14ac:dyDescent="0.25">
      <c r="A3" s="6" t="s">
        <v>57</v>
      </c>
      <c r="B3" s="11" t="s">
        <v>109</v>
      </c>
      <c r="C3" s="11" t="s">
        <v>71</v>
      </c>
      <c r="D3" s="12">
        <v>0.01</v>
      </c>
      <c r="E3" s="1" t="s">
        <v>113</v>
      </c>
      <c r="F3" s="1">
        <f>3095+245</f>
        <v>3340</v>
      </c>
      <c r="G3" s="1" t="s">
        <v>114</v>
      </c>
      <c r="I3" s="1" t="s">
        <v>114</v>
      </c>
      <c r="K3" s="1" t="s">
        <v>114</v>
      </c>
      <c r="M3" s="1" t="s">
        <v>114</v>
      </c>
      <c r="O3" s="1" t="s">
        <v>114</v>
      </c>
      <c r="Q3" s="1" t="s">
        <v>114</v>
      </c>
      <c r="S3" s="1" t="s">
        <v>114</v>
      </c>
      <c r="U3" s="1" t="s">
        <v>114</v>
      </c>
      <c r="W3" s="1" t="s">
        <v>114</v>
      </c>
    </row>
    <row r="4" spans="1:23" x14ac:dyDescent="0.25">
      <c r="A4" s="6" t="s">
        <v>57</v>
      </c>
      <c r="B4" t="s">
        <v>10</v>
      </c>
      <c r="C4" t="s">
        <v>10</v>
      </c>
      <c r="D4" s="1">
        <v>56.93</v>
      </c>
      <c r="E4" s="1" t="s">
        <v>113</v>
      </c>
      <c r="G4" s="1" t="s">
        <v>114</v>
      </c>
      <c r="I4" s="1" t="s">
        <v>114</v>
      </c>
      <c r="K4" s="1" t="s">
        <v>114</v>
      </c>
      <c r="M4" s="1" t="s">
        <v>114</v>
      </c>
      <c r="O4" s="1" t="s">
        <v>114</v>
      </c>
      <c r="Q4" s="1" t="s">
        <v>114</v>
      </c>
      <c r="S4" s="1" t="s">
        <v>114</v>
      </c>
      <c r="U4" s="1" t="s">
        <v>114</v>
      </c>
      <c r="W4" s="1" t="s">
        <v>114</v>
      </c>
    </row>
    <row r="5" spans="1:23" x14ac:dyDescent="0.25">
      <c r="A5" s="6" t="s">
        <v>57</v>
      </c>
      <c r="B5" t="s">
        <v>11</v>
      </c>
      <c r="C5" t="s">
        <v>31</v>
      </c>
      <c r="D5" s="1">
        <v>13.49</v>
      </c>
      <c r="E5" s="1" t="s">
        <v>113</v>
      </c>
      <c r="F5" s="1">
        <v>13.49</v>
      </c>
      <c r="G5" s="1" t="s">
        <v>114</v>
      </c>
      <c r="H5" s="1">
        <v>13.49</v>
      </c>
      <c r="I5" s="1" t="s">
        <v>114</v>
      </c>
      <c r="J5" s="1">
        <v>13.49</v>
      </c>
      <c r="K5" s="1" t="s">
        <v>114</v>
      </c>
      <c r="L5" s="1">
        <v>13.49</v>
      </c>
      <c r="M5" s="1" t="s">
        <v>114</v>
      </c>
      <c r="N5" s="1">
        <v>13.49</v>
      </c>
      <c r="O5" s="1" t="s">
        <v>114</v>
      </c>
      <c r="P5" s="1">
        <v>13.49</v>
      </c>
      <c r="Q5" s="1" t="s">
        <v>114</v>
      </c>
      <c r="R5" s="1">
        <v>13.49</v>
      </c>
      <c r="S5" s="1" t="s">
        <v>114</v>
      </c>
      <c r="T5" s="1">
        <v>13.49</v>
      </c>
      <c r="U5" s="1" t="s">
        <v>114</v>
      </c>
      <c r="V5" s="1">
        <v>13.49</v>
      </c>
      <c r="W5" s="1" t="s">
        <v>114</v>
      </c>
    </row>
    <row r="6" spans="1:23" x14ac:dyDescent="0.25">
      <c r="A6" s="6" t="s">
        <v>57</v>
      </c>
      <c r="B6" s="2" t="s">
        <v>13</v>
      </c>
      <c r="C6" t="s">
        <v>33</v>
      </c>
      <c r="D6" s="1">
        <v>19.899999999999999</v>
      </c>
      <c r="E6" s="1" t="s">
        <v>113</v>
      </c>
      <c r="G6" s="1" t="s">
        <v>114</v>
      </c>
      <c r="I6" s="1" t="s">
        <v>114</v>
      </c>
      <c r="K6" s="1" t="s">
        <v>114</v>
      </c>
      <c r="M6" s="1" t="s">
        <v>114</v>
      </c>
      <c r="O6" s="1" t="s">
        <v>114</v>
      </c>
      <c r="Q6" s="1" t="s">
        <v>114</v>
      </c>
      <c r="S6" s="1" t="s">
        <v>114</v>
      </c>
      <c r="U6" s="1" t="s">
        <v>114</v>
      </c>
      <c r="W6" s="1" t="s">
        <v>114</v>
      </c>
    </row>
    <row r="7" spans="1:23" x14ac:dyDescent="0.25">
      <c r="A7" s="6" t="s">
        <v>57</v>
      </c>
      <c r="B7" t="s">
        <v>19</v>
      </c>
      <c r="C7" t="s">
        <v>34</v>
      </c>
      <c r="D7" s="1">
        <v>103.51</v>
      </c>
      <c r="E7" s="1" t="s">
        <v>113</v>
      </c>
      <c r="G7" s="1" t="s">
        <v>114</v>
      </c>
      <c r="I7" s="1" t="s">
        <v>114</v>
      </c>
      <c r="K7" s="1" t="s">
        <v>114</v>
      </c>
      <c r="M7" s="1" t="s">
        <v>114</v>
      </c>
      <c r="O7" s="1" t="s">
        <v>114</v>
      </c>
      <c r="Q7" s="1" t="s">
        <v>114</v>
      </c>
      <c r="S7" s="1" t="s">
        <v>114</v>
      </c>
      <c r="U7" s="1" t="s">
        <v>114</v>
      </c>
      <c r="W7" s="1" t="s">
        <v>114</v>
      </c>
    </row>
    <row r="8" spans="1:23" x14ac:dyDescent="0.25">
      <c r="A8" s="6" t="s">
        <v>57</v>
      </c>
      <c r="B8" t="s">
        <v>14</v>
      </c>
      <c r="C8" t="s">
        <v>35</v>
      </c>
      <c r="D8" s="1">
        <v>119</v>
      </c>
      <c r="E8" s="1" t="s">
        <v>113</v>
      </c>
      <c r="G8" s="1" t="s">
        <v>114</v>
      </c>
      <c r="I8" s="1" t="s">
        <v>114</v>
      </c>
      <c r="K8" s="1" t="s">
        <v>114</v>
      </c>
      <c r="M8" s="1" t="s">
        <v>114</v>
      </c>
      <c r="O8" s="1" t="s">
        <v>114</v>
      </c>
      <c r="Q8" s="1" t="s">
        <v>114</v>
      </c>
      <c r="S8" s="1" t="s">
        <v>114</v>
      </c>
      <c r="U8" s="1" t="s">
        <v>114</v>
      </c>
      <c r="W8" s="1" t="s">
        <v>114</v>
      </c>
    </row>
    <row r="9" spans="1:23" x14ac:dyDescent="0.25">
      <c r="A9" s="6" t="s">
        <v>57</v>
      </c>
      <c r="B9" s="2" t="s">
        <v>15</v>
      </c>
      <c r="C9" t="s">
        <v>33</v>
      </c>
      <c r="D9" s="1">
        <v>25</v>
      </c>
      <c r="E9" s="1" t="s">
        <v>113</v>
      </c>
      <c r="F9" s="1">
        <v>25</v>
      </c>
      <c r="G9" s="1" t="s">
        <v>114</v>
      </c>
      <c r="H9" s="1">
        <v>25</v>
      </c>
      <c r="I9" s="1" t="s">
        <v>114</v>
      </c>
      <c r="J9" s="1">
        <v>25</v>
      </c>
      <c r="K9" s="1" t="s">
        <v>114</v>
      </c>
      <c r="L9" s="1">
        <v>25</v>
      </c>
      <c r="M9" s="1" t="s">
        <v>114</v>
      </c>
      <c r="N9" s="1">
        <v>25</v>
      </c>
      <c r="O9" s="1" t="s">
        <v>114</v>
      </c>
      <c r="P9" s="1">
        <v>25</v>
      </c>
      <c r="Q9" s="1" t="s">
        <v>114</v>
      </c>
      <c r="R9" s="1">
        <v>25</v>
      </c>
      <c r="S9" s="1" t="s">
        <v>114</v>
      </c>
      <c r="T9" s="1">
        <v>25</v>
      </c>
      <c r="U9" s="1" t="s">
        <v>114</v>
      </c>
      <c r="V9" s="1">
        <v>25</v>
      </c>
      <c r="W9" s="1" t="s">
        <v>114</v>
      </c>
    </row>
    <row r="10" spans="1:23" x14ac:dyDescent="0.25">
      <c r="A10" s="6" t="s">
        <v>57</v>
      </c>
      <c r="B10" t="s">
        <v>16</v>
      </c>
      <c r="C10" t="s">
        <v>36</v>
      </c>
      <c r="D10" s="1">
        <v>411.98</v>
      </c>
      <c r="E10" s="1" t="s">
        <v>113</v>
      </c>
      <c r="F10" s="1">
        <v>411.98</v>
      </c>
      <c r="G10" s="1" t="s">
        <v>114</v>
      </c>
      <c r="H10" s="1">
        <v>411.98</v>
      </c>
      <c r="I10" s="1" t="s">
        <v>114</v>
      </c>
      <c r="J10" s="1">
        <v>411.98</v>
      </c>
      <c r="K10" s="1" t="s">
        <v>114</v>
      </c>
      <c r="L10" s="1">
        <v>411.98</v>
      </c>
      <c r="M10" s="1" t="s">
        <v>114</v>
      </c>
      <c r="N10" s="1">
        <v>411.98</v>
      </c>
      <c r="O10" s="1" t="s">
        <v>114</v>
      </c>
      <c r="P10" s="1">
        <v>411.98</v>
      </c>
      <c r="Q10" s="1" t="s">
        <v>114</v>
      </c>
      <c r="R10" s="1">
        <v>411.98</v>
      </c>
      <c r="S10" s="1" t="s">
        <v>114</v>
      </c>
      <c r="T10" s="1">
        <v>411.98</v>
      </c>
      <c r="U10" s="1" t="s">
        <v>114</v>
      </c>
      <c r="V10" s="1">
        <v>411.98</v>
      </c>
      <c r="W10" s="1" t="s">
        <v>114</v>
      </c>
    </row>
    <row r="11" spans="1:23" x14ac:dyDescent="0.25">
      <c r="A11" s="6" t="s">
        <v>57</v>
      </c>
      <c r="B11" t="s">
        <v>10</v>
      </c>
      <c r="C11" t="s">
        <v>10</v>
      </c>
      <c r="D11" s="1">
        <v>101.92</v>
      </c>
      <c r="E11" s="1" t="s">
        <v>113</v>
      </c>
      <c r="F11" s="1">
        <v>101.92</v>
      </c>
      <c r="G11" s="1" t="s">
        <v>114</v>
      </c>
      <c r="H11" s="1">
        <v>101.92</v>
      </c>
      <c r="I11" s="1" t="s">
        <v>114</v>
      </c>
      <c r="K11" s="1" t="s">
        <v>114</v>
      </c>
      <c r="M11" s="1" t="s">
        <v>114</v>
      </c>
      <c r="O11" s="1" t="s">
        <v>114</v>
      </c>
      <c r="Q11" s="1" t="s">
        <v>114</v>
      </c>
      <c r="S11" s="1" t="s">
        <v>114</v>
      </c>
      <c r="U11" s="1" t="s">
        <v>114</v>
      </c>
      <c r="W11" s="1" t="s">
        <v>114</v>
      </c>
    </row>
    <row r="12" spans="1:23" x14ac:dyDescent="0.25">
      <c r="A12" s="6" t="s">
        <v>57</v>
      </c>
      <c r="B12" t="s">
        <v>17</v>
      </c>
      <c r="C12" t="s">
        <v>37</v>
      </c>
      <c r="D12" s="1">
        <v>88.47</v>
      </c>
      <c r="E12" s="1" t="s">
        <v>113</v>
      </c>
      <c r="F12" s="1">
        <v>88.47</v>
      </c>
      <c r="G12" s="1" t="s">
        <v>114</v>
      </c>
      <c r="H12" s="1">
        <v>88.47</v>
      </c>
      <c r="I12" s="1" t="s">
        <v>114</v>
      </c>
      <c r="J12" s="1">
        <v>88.47</v>
      </c>
      <c r="K12" s="1" t="s">
        <v>114</v>
      </c>
      <c r="L12" s="1">
        <v>88.47</v>
      </c>
      <c r="M12" s="1" t="s">
        <v>114</v>
      </c>
      <c r="N12" s="1">
        <v>88.47</v>
      </c>
      <c r="O12" s="1" t="s">
        <v>114</v>
      </c>
      <c r="P12" s="1">
        <v>88.47</v>
      </c>
      <c r="Q12" s="1" t="s">
        <v>114</v>
      </c>
      <c r="R12" s="1">
        <v>88.47</v>
      </c>
      <c r="S12" s="1" t="s">
        <v>114</v>
      </c>
      <c r="T12" s="1">
        <v>88.47</v>
      </c>
      <c r="U12" s="1" t="s">
        <v>114</v>
      </c>
      <c r="V12" s="1">
        <v>88.47</v>
      </c>
      <c r="W12" s="1" t="s">
        <v>114</v>
      </c>
    </row>
    <row r="13" spans="1:23" x14ac:dyDescent="0.25">
      <c r="A13" s="6" t="s">
        <v>57</v>
      </c>
      <c r="B13" t="s">
        <v>18</v>
      </c>
      <c r="C13" t="s">
        <v>18</v>
      </c>
      <c r="D13" s="1">
        <v>164.84</v>
      </c>
      <c r="E13" s="1" t="s">
        <v>113</v>
      </c>
      <c r="G13" s="1" t="s">
        <v>114</v>
      </c>
      <c r="I13" s="1" t="s">
        <v>114</v>
      </c>
      <c r="K13" s="1" t="s">
        <v>114</v>
      </c>
      <c r="M13" s="1" t="s">
        <v>114</v>
      </c>
      <c r="O13" s="1" t="s">
        <v>114</v>
      </c>
      <c r="Q13" s="1" t="s">
        <v>114</v>
      </c>
      <c r="S13" s="1" t="s">
        <v>114</v>
      </c>
      <c r="U13" s="1" t="s">
        <v>114</v>
      </c>
      <c r="W13" s="1" t="s">
        <v>114</v>
      </c>
    </row>
    <row r="14" spans="1:23" x14ac:dyDescent="0.25">
      <c r="A14" s="6" t="s">
        <v>57</v>
      </c>
      <c r="B14" t="s">
        <v>10</v>
      </c>
      <c r="C14" t="s">
        <v>10</v>
      </c>
      <c r="D14" s="1">
        <v>42.14</v>
      </c>
      <c r="E14" s="1" t="s">
        <v>113</v>
      </c>
      <c r="G14" s="1" t="s">
        <v>114</v>
      </c>
      <c r="I14" s="1" t="s">
        <v>114</v>
      </c>
      <c r="K14" s="1" t="s">
        <v>114</v>
      </c>
      <c r="M14" s="1" t="s">
        <v>114</v>
      </c>
      <c r="O14" s="1" t="s">
        <v>114</v>
      </c>
      <c r="Q14" s="1" t="s">
        <v>114</v>
      </c>
      <c r="S14" s="1" t="s">
        <v>114</v>
      </c>
      <c r="U14" s="1" t="s">
        <v>114</v>
      </c>
      <c r="W14" s="1" t="s">
        <v>114</v>
      </c>
    </row>
    <row r="15" spans="1:23" x14ac:dyDescent="0.25">
      <c r="A15" s="6" t="s">
        <v>57</v>
      </c>
      <c r="B15" t="s">
        <v>20</v>
      </c>
      <c r="C15" t="s">
        <v>38</v>
      </c>
      <c r="D15" s="1">
        <v>20.74</v>
      </c>
      <c r="E15" s="1" t="s">
        <v>113</v>
      </c>
      <c r="F15" s="1">
        <v>20.74</v>
      </c>
      <c r="G15" s="1" t="s">
        <v>114</v>
      </c>
      <c r="H15" s="1">
        <v>20.74</v>
      </c>
      <c r="I15" s="1" t="s">
        <v>114</v>
      </c>
      <c r="J15" s="1">
        <v>20.74</v>
      </c>
      <c r="K15" s="1" t="s">
        <v>114</v>
      </c>
      <c r="L15" s="1">
        <v>20.74</v>
      </c>
      <c r="M15" s="1" t="s">
        <v>114</v>
      </c>
      <c r="N15" s="1">
        <v>20.74</v>
      </c>
      <c r="O15" s="1" t="s">
        <v>114</v>
      </c>
      <c r="P15" s="1">
        <v>20.74</v>
      </c>
      <c r="Q15" s="1" t="s">
        <v>114</v>
      </c>
      <c r="R15" s="1">
        <v>20.74</v>
      </c>
      <c r="S15" s="1" t="s">
        <v>114</v>
      </c>
      <c r="T15" s="1">
        <v>20.74</v>
      </c>
      <c r="U15" s="1" t="s">
        <v>114</v>
      </c>
      <c r="V15" s="1">
        <v>20.74</v>
      </c>
      <c r="W15" s="1" t="s">
        <v>114</v>
      </c>
    </row>
    <row r="16" spans="1:23" x14ac:dyDescent="0.25">
      <c r="A16" s="6" t="s">
        <v>57</v>
      </c>
      <c r="B16" s="2" t="s">
        <v>13</v>
      </c>
      <c r="C16" t="s">
        <v>33</v>
      </c>
      <c r="D16" s="1">
        <v>34.9</v>
      </c>
      <c r="E16" s="1" t="s">
        <v>113</v>
      </c>
      <c r="G16" s="1" t="s">
        <v>114</v>
      </c>
      <c r="I16" s="1" t="s">
        <v>114</v>
      </c>
      <c r="K16" s="1" t="s">
        <v>114</v>
      </c>
      <c r="M16" s="1" t="s">
        <v>114</v>
      </c>
      <c r="O16" s="1" t="s">
        <v>114</v>
      </c>
      <c r="Q16" s="1" t="s">
        <v>114</v>
      </c>
      <c r="S16" s="1" t="s">
        <v>114</v>
      </c>
      <c r="U16" s="1" t="s">
        <v>114</v>
      </c>
      <c r="W16" s="1" t="s">
        <v>114</v>
      </c>
    </row>
    <row r="17" spans="1:23" x14ac:dyDescent="0.25">
      <c r="A17" s="6" t="s">
        <v>57</v>
      </c>
      <c r="B17" t="s">
        <v>21</v>
      </c>
      <c r="C17" t="s">
        <v>48</v>
      </c>
      <c r="D17" s="1">
        <v>457.5</v>
      </c>
      <c r="E17" s="1" t="s">
        <v>113</v>
      </c>
      <c r="G17" s="1" t="s">
        <v>114</v>
      </c>
      <c r="I17" s="1" t="s">
        <v>114</v>
      </c>
      <c r="K17" s="1" t="s">
        <v>114</v>
      </c>
      <c r="M17" s="1" t="s">
        <v>114</v>
      </c>
      <c r="O17" s="1" t="s">
        <v>114</v>
      </c>
      <c r="Q17" s="1" t="s">
        <v>114</v>
      </c>
      <c r="S17" s="1" t="s">
        <v>114</v>
      </c>
      <c r="U17" s="1" t="s">
        <v>114</v>
      </c>
      <c r="W17" s="1" t="s">
        <v>114</v>
      </c>
    </row>
    <row r="18" spans="1:23" x14ac:dyDescent="0.25">
      <c r="A18" s="6" t="s">
        <v>57</v>
      </c>
      <c r="B18" t="s">
        <v>22</v>
      </c>
      <c r="C18" t="s">
        <v>22</v>
      </c>
      <c r="D18" s="1">
        <v>800</v>
      </c>
      <c r="E18" s="1" t="s">
        <v>113</v>
      </c>
      <c r="F18" s="1">
        <v>800</v>
      </c>
      <c r="G18" s="1" t="s">
        <v>114</v>
      </c>
      <c r="H18" s="1">
        <v>800</v>
      </c>
      <c r="I18" s="1" t="s">
        <v>114</v>
      </c>
      <c r="J18" s="1">
        <v>800</v>
      </c>
      <c r="K18" s="1" t="s">
        <v>114</v>
      </c>
      <c r="L18" s="1">
        <v>800</v>
      </c>
      <c r="M18" s="1" t="s">
        <v>114</v>
      </c>
      <c r="N18" s="1">
        <v>800</v>
      </c>
      <c r="O18" s="1" t="s">
        <v>114</v>
      </c>
      <c r="P18" s="1">
        <v>800</v>
      </c>
      <c r="Q18" s="1" t="s">
        <v>114</v>
      </c>
      <c r="R18" s="1">
        <v>800</v>
      </c>
      <c r="S18" s="1" t="s">
        <v>114</v>
      </c>
      <c r="T18" s="1">
        <v>800</v>
      </c>
      <c r="U18" s="1" t="s">
        <v>114</v>
      </c>
      <c r="V18" s="1">
        <v>800</v>
      </c>
      <c r="W18" s="1" t="s">
        <v>114</v>
      </c>
    </row>
    <row r="19" spans="1:23" x14ac:dyDescent="0.25">
      <c r="A19" s="6" t="s">
        <v>57</v>
      </c>
      <c r="B19" t="s">
        <v>18</v>
      </c>
      <c r="C19" t="s">
        <v>18</v>
      </c>
      <c r="D19" s="1">
        <v>333.41</v>
      </c>
      <c r="E19" s="1" t="s">
        <v>113</v>
      </c>
      <c r="G19" s="1" t="s">
        <v>114</v>
      </c>
      <c r="I19" s="1" t="s">
        <v>114</v>
      </c>
      <c r="K19" s="1" t="s">
        <v>114</v>
      </c>
      <c r="M19" s="1" t="s">
        <v>114</v>
      </c>
      <c r="O19" s="1" t="s">
        <v>114</v>
      </c>
      <c r="Q19" s="1" t="s">
        <v>114</v>
      </c>
      <c r="S19" s="1" t="s">
        <v>114</v>
      </c>
      <c r="U19" s="1" t="s">
        <v>114</v>
      </c>
      <c r="W19" s="1" t="s">
        <v>114</v>
      </c>
    </row>
    <row r="20" spans="1:23" x14ac:dyDescent="0.25">
      <c r="A20" s="6" t="s">
        <v>57</v>
      </c>
      <c r="B20" t="s">
        <v>23</v>
      </c>
      <c r="C20" t="s">
        <v>65</v>
      </c>
      <c r="D20" s="1">
        <v>43.51</v>
      </c>
      <c r="E20" s="1" t="s">
        <v>113</v>
      </c>
      <c r="F20" s="1">
        <v>43.51</v>
      </c>
      <c r="G20" s="1" t="s">
        <v>114</v>
      </c>
      <c r="H20" s="1">
        <v>43.51</v>
      </c>
      <c r="I20" s="1" t="s">
        <v>114</v>
      </c>
      <c r="J20" s="1">
        <v>43.51</v>
      </c>
      <c r="K20" s="1" t="s">
        <v>114</v>
      </c>
      <c r="L20" s="1">
        <v>43.51</v>
      </c>
      <c r="M20" s="1" t="s">
        <v>114</v>
      </c>
      <c r="N20" s="1">
        <v>43.51</v>
      </c>
      <c r="O20" s="1" t="s">
        <v>114</v>
      </c>
      <c r="P20" s="1">
        <v>43.51</v>
      </c>
      <c r="Q20" s="1" t="s">
        <v>114</v>
      </c>
      <c r="R20" s="1">
        <v>43.51</v>
      </c>
      <c r="S20" s="1" t="s">
        <v>114</v>
      </c>
      <c r="T20" s="1">
        <v>43.51</v>
      </c>
      <c r="U20" s="1" t="s">
        <v>114</v>
      </c>
      <c r="V20" s="1">
        <v>43.51</v>
      </c>
      <c r="W20" s="1" t="s">
        <v>114</v>
      </c>
    </row>
    <row r="21" spans="1:23" x14ac:dyDescent="0.25">
      <c r="A21" s="6" t="s">
        <v>57</v>
      </c>
      <c r="B21" s="2" t="s">
        <v>24</v>
      </c>
      <c r="C21" t="s">
        <v>33</v>
      </c>
      <c r="D21" s="1">
        <v>21.9</v>
      </c>
      <c r="E21" s="1" t="s">
        <v>113</v>
      </c>
      <c r="G21" s="1" t="s">
        <v>114</v>
      </c>
      <c r="I21" s="1" t="s">
        <v>114</v>
      </c>
      <c r="K21" s="1" t="s">
        <v>114</v>
      </c>
      <c r="M21" s="1" t="s">
        <v>114</v>
      </c>
      <c r="O21" s="1" t="s">
        <v>114</v>
      </c>
      <c r="Q21" s="1" t="s">
        <v>114</v>
      </c>
      <c r="S21" s="1" t="s">
        <v>114</v>
      </c>
      <c r="U21" s="1" t="s">
        <v>114</v>
      </c>
      <c r="W21" s="1" t="s">
        <v>114</v>
      </c>
    </row>
    <row r="22" spans="1:23" x14ac:dyDescent="0.25">
      <c r="A22" s="6" t="s">
        <v>57</v>
      </c>
      <c r="B22" t="s">
        <v>39</v>
      </c>
      <c r="C22" t="s">
        <v>40</v>
      </c>
      <c r="D22" s="1">
        <v>85.41</v>
      </c>
      <c r="E22" s="1" t="s">
        <v>113</v>
      </c>
      <c r="F22" s="1">
        <v>85.41</v>
      </c>
      <c r="G22" s="1" t="s">
        <v>114</v>
      </c>
      <c r="H22" s="1">
        <v>85.41</v>
      </c>
      <c r="I22" s="1" t="s">
        <v>114</v>
      </c>
      <c r="J22" s="1">
        <v>85.41</v>
      </c>
      <c r="K22" s="1" t="s">
        <v>114</v>
      </c>
      <c r="L22" s="1">
        <v>85.41</v>
      </c>
      <c r="M22" s="1" t="s">
        <v>114</v>
      </c>
      <c r="N22" s="1">
        <v>85.41</v>
      </c>
      <c r="O22" s="1" t="s">
        <v>114</v>
      </c>
      <c r="P22" s="1">
        <v>85.41</v>
      </c>
      <c r="Q22" s="1" t="s">
        <v>114</v>
      </c>
      <c r="R22" s="1">
        <v>85.41</v>
      </c>
      <c r="S22" s="1" t="s">
        <v>114</v>
      </c>
      <c r="T22" s="1">
        <v>85.41</v>
      </c>
      <c r="U22" s="1" t="s">
        <v>114</v>
      </c>
      <c r="W22" s="1" t="s">
        <v>114</v>
      </c>
    </row>
    <row r="23" spans="1:23" x14ac:dyDescent="0.25">
      <c r="A23" s="6" t="s">
        <v>57</v>
      </c>
      <c r="B23" t="s">
        <v>25</v>
      </c>
      <c r="C23" t="s">
        <v>33</v>
      </c>
      <c r="D23" s="1">
        <v>21.29</v>
      </c>
      <c r="E23" s="1" t="s">
        <v>113</v>
      </c>
      <c r="F23" s="1">
        <v>21.29</v>
      </c>
      <c r="G23" s="1" t="s">
        <v>114</v>
      </c>
      <c r="H23" s="1">
        <v>21.29</v>
      </c>
      <c r="I23" s="1" t="s">
        <v>114</v>
      </c>
      <c r="J23" s="1">
        <v>21.29</v>
      </c>
      <c r="K23" s="1" t="s">
        <v>114</v>
      </c>
      <c r="L23" s="1">
        <v>21.29</v>
      </c>
      <c r="M23" s="1" t="s">
        <v>114</v>
      </c>
      <c r="N23" s="1">
        <v>21.29</v>
      </c>
      <c r="O23" s="1" t="s">
        <v>114</v>
      </c>
      <c r="P23" s="1">
        <v>21.29</v>
      </c>
      <c r="Q23" s="1" t="s">
        <v>114</v>
      </c>
      <c r="R23" s="1">
        <v>21.29</v>
      </c>
      <c r="S23" s="1" t="s">
        <v>114</v>
      </c>
      <c r="T23" s="1">
        <v>21.29</v>
      </c>
      <c r="U23" s="1" t="s">
        <v>114</v>
      </c>
      <c r="V23" s="1">
        <v>21.29</v>
      </c>
      <c r="W23" s="1" t="s">
        <v>114</v>
      </c>
    </row>
    <row r="24" spans="1:23" x14ac:dyDescent="0.25">
      <c r="A24" s="6" t="s">
        <v>57</v>
      </c>
      <c r="B24" t="s">
        <v>10</v>
      </c>
      <c r="C24" t="s">
        <v>10</v>
      </c>
      <c r="D24" s="1">
        <v>40.26</v>
      </c>
      <c r="E24" s="1" t="s">
        <v>113</v>
      </c>
      <c r="G24" s="1" t="s">
        <v>114</v>
      </c>
      <c r="I24" s="1" t="s">
        <v>114</v>
      </c>
      <c r="K24" s="1" t="s">
        <v>114</v>
      </c>
      <c r="M24" s="1" t="s">
        <v>114</v>
      </c>
      <c r="O24" s="1" t="s">
        <v>114</v>
      </c>
      <c r="Q24" s="1" t="s">
        <v>114</v>
      </c>
      <c r="S24" s="1" t="s">
        <v>114</v>
      </c>
      <c r="U24" s="1" t="s">
        <v>114</v>
      </c>
      <c r="W24" s="1" t="s">
        <v>114</v>
      </c>
    </row>
    <row r="25" spans="1:23" x14ac:dyDescent="0.25">
      <c r="A25" s="6" t="s">
        <v>57</v>
      </c>
      <c r="B25" t="s">
        <v>17</v>
      </c>
      <c r="C25" t="s">
        <v>37</v>
      </c>
      <c r="D25" s="1">
        <v>42.36</v>
      </c>
      <c r="E25" s="1" t="s">
        <v>113</v>
      </c>
      <c r="F25" s="1">
        <v>42.36</v>
      </c>
      <c r="G25" s="1" t="s">
        <v>114</v>
      </c>
      <c r="H25" s="1">
        <v>42.36</v>
      </c>
      <c r="I25" s="1" t="s">
        <v>114</v>
      </c>
      <c r="J25" s="1">
        <v>42.36</v>
      </c>
      <c r="K25" s="1" t="s">
        <v>114</v>
      </c>
      <c r="L25" s="1">
        <v>42.36</v>
      </c>
      <c r="M25" s="1" t="s">
        <v>114</v>
      </c>
      <c r="N25" s="1">
        <v>42.36</v>
      </c>
      <c r="O25" s="1" t="s">
        <v>114</v>
      </c>
      <c r="P25" s="1">
        <v>42.36</v>
      </c>
      <c r="Q25" s="1" t="s">
        <v>114</v>
      </c>
      <c r="R25" s="1">
        <v>42.36</v>
      </c>
      <c r="S25" s="1" t="s">
        <v>114</v>
      </c>
      <c r="T25" s="1">
        <v>42.36</v>
      </c>
      <c r="U25" s="1" t="s">
        <v>114</v>
      </c>
      <c r="W25" s="1" t="s">
        <v>114</v>
      </c>
    </row>
    <row r="26" spans="1:23" x14ac:dyDescent="0.25">
      <c r="A26" s="6" t="s">
        <v>57</v>
      </c>
      <c r="B26" t="s">
        <v>10</v>
      </c>
      <c r="C26" t="s">
        <v>10</v>
      </c>
      <c r="D26" s="1">
        <v>66.94</v>
      </c>
      <c r="E26" s="1" t="s">
        <v>113</v>
      </c>
      <c r="G26" s="1" t="s">
        <v>114</v>
      </c>
      <c r="I26" s="1" t="s">
        <v>114</v>
      </c>
      <c r="K26" s="1" t="s">
        <v>114</v>
      </c>
      <c r="M26" s="1" t="s">
        <v>114</v>
      </c>
      <c r="O26" s="1" t="s">
        <v>114</v>
      </c>
      <c r="Q26" s="1" t="s">
        <v>114</v>
      </c>
      <c r="S26" s="1" t="s">
        <v>114</v>
      </c>
      <c r="U26" s="1" t="s">
        <v>114</v>
      </c>
      <c r="W26" s="1" t="s">
        <v>114</v>
      </c>
    </row>
    <row r="27" spans="1:23" x14ac:dyDescent="0.25">
      <c r="A27" s="6" t="s">
        <v>57</v>
      </c>
      <c r="B27" t="s">
        <v>28</v>
      </c>
      <c r="C27" t="s">
        <v>32</v>
      </c>
      <c r="D27" s="1">
        <v>145.25</v>
      </c>
      <c r="E27" s="1" t="s">
        <v>113</v>
      </c>
      <c r="F27" s="1">
        <v>145.25</v>
      </c>
      <c r="G27" s="1" t="s">
        <v>114</v>
      </c>
      <c r="I27" s="1" t="s">
        <v>114</v>
      </c>
      <c r="K27" s="1" t="s">
        <v>114</v>
      </c>
      <c r="M27" s="1" t="s">
        <v>114</v>
      </c>
      <c r="O27" s="1" t="s">
        <v>114</v>
      </c>
      <c r="Q27" s="1" t="s">
        <v>114</v>
      </c>
      <c r="S27" s="1" t="s">
        <v>114</v>
      </c>
      <c r="U27" s="1" t="s">
        <v>114</v>
      </c>
      <c r="W27" s="1" t="s">
        <v>114</v>
      </c>
    </row>
    <row r="28" spans="1:23" x14ac:dyDescent="0.25">
      <c r="A28" s="6" t="s">
        <v>57</v>
      </c>
      <c r="B28" t="s">
        <v>26</v>
      </c>
      <c r="C28" t="s">
        <v>34</v>
      </c>
      <c r="D28" s="1">
        <v>43.96</v>
      </c>
      <c r="E28" s="1" t="s">
        <v>113</v>
      </c>
      <c r="F28" s="1">
        <v>43.96</v>
      </c>
      <c r="G28" s="1" t="s">
        <v>114</v>
      </c>
      <c r="H28" s="1">
        <v>43.96</v>
      </c>
      <c r="I28" s="1" t="s">
        <v>114</v>
      </c>
      <c r="K28" s="1" t="s">
        <v>114</v>
      </c>
      <c r="M28" s="1" t="s">
        <v>114</v>
      </c>
      <c r="O28" s="1" t="s">
        <v>114</v>
      </c>
      <c r="Q28" s="1" t="s">
        <v>114</v>
      </c>
      <c r="S28" s="1" t="s">
        <v>114</v>
      </c>
      <c r="U28" s="1" t="s">
        <v>114</v>
      </c>
      <c r="W28" s="1" t="s">
        <v>114</v>
      </c>
    </row>
    <row r="29" spans="1:23" x14ac:dyDescent="0.25">
      <c r="A29" s="6" t="s">
        <v>57</v>
      </c>
      <c r="B29" t="s">
        <v>17</v>
      </c>
      <c r="C29" s="11" t="s">
        <v>37</v>
      </c>
      <c r="D29" s="1">
        <v>40.86</v>
      </c>
      <c r="E29" s="1" t="s">
        <v>113</v>
      </c>
      <c r="F29" s="1">
        <v>40.86</v>
      </c>
      <c r="G29" s="1" t="s">
        <v>114</v>
      </c>
      <c r="H29" s="1">
        <v>40.86</v>
      </c>
      <c r="I29" s="1" t="s">
        <v>114</v>
      </c>
      <c r="J29" s="1">
        <v>40.86</v>
      </c>
      <c r="K29" s="1" t="s">
        <v>114</v>
      </c>
      <c r="L29" s="1">
        <v>40.86</v>
      </c>
      <c r="M29" s="1" t="s">
        <v>114</v>
      </c>
      <c r="N29" s="1">
        <v>40.86</v>
      </c>
      <c r="O29" s="1" t="s">
        <v>114</v>
      </c>
      <c r="P29" s="1">
        <v>40.86</v>
      </c>
      <c r="Q29" s="1" t="s">
        <v>114</v>
      </c>
      <c r="R29" s="1">
        <v>40.86</v>
      </c>
      <c r="S29" s="1" t="s">
        <v>114</v>
      </c>
      <c r="U29" s="1" t="s">
        <v>114</v>
      </c>
      <c r="W29" s="1" t="s">
        <v>114</v>
      </c>
    </row>
    <row r="30" spans="1:23" x14ac:dyDescent="0.25">
      <c r="A30" s="6" t="s">
        <v>57</v>
      </c>
      <c r="B30" t="s">
        <v>27</v>
      </c>
      <c r="C30" t="s">
        <v>41</v>
      </c>
      <c r="D30" s="1">
        <f>59.25+61.66</f>
        <v>120.91</v>
      </c>
      <c r="E30" s="1" t="s">
        <v>113</v>
      </c>
      <c r="F30" s="1">
        <f t="shared" ref="F30:H30" si="0">59.25+61.66</f>
        <v>120.91</v>
      </c>
      <c r="G30" s="1" t="s">
        <v>114</v>
      </c>
      <c r="H30" s="1">
        <f t="shared" si="0"/>
        <v>120.91</v>
      </c>
      <c r="I30" s="1" t="s">
        <v>114</v>
      </c>
      <c r="K30" s="1" t="s">
        <v>114</v>
      </c>
      <c r="M30" s="1" t="s">
        <v>114</v>
      </c>
      <c r="O30" s="1" t="s">
        <v>114</v>
      </c>
      <c r="Q30" s="1" t="s">
        <v>114</v>
      </c>
      <c r="S30" s="1" t="s">
        <v>114</v>
      </c>
      <c r="U30" s="1" t="s">
        <v>114</v>
      </c>
      <c r="W30" s="1" t="s">
        <v>114</v>
      </c>
    </row>
    <row r="31" spans="1:23" x14ac:dyDescent="0.25">
      <c r="A31" s="6" t="s">
        <v>57</v>
      </c>
      <c r="B31" t="s">
        <v>17</v>
      </c>
      <c r="C31" t="s">
        <v>37</v>
      </c>
      <c r="D31" s="1">
        <v>34.520000000000003</v>
      </c>
      <c r="E31" s="1" t="s">
        <v>113</v>
      </c>
      <c r="F31" s="1">
        <v>34.520000000000003</v>
      </c>
      <c r="G31" s="1" t="s">
        <v>114</v>
      </c>
      <c r="H31" s="1">
        <v>34.520000000000003</v>
      </c>
      <c r="I31" s="1" t="s">
        <v>114</v>
      </c>
      <c r="J31" s="1">
        <v>34.520000000000003</v>
      </c>
      <c r="K31" s="1" t="s">
        <v>114</v>
      </c>
      <c r="M31" s="1" t="s">
        <v>114</v>
      </c>
      <c r="O31" s="1" t="s">
        <v>114</v>
      </c>
      <c r="Q31" s="1" t="s">
        <v>114</v>
      </c>
      <c r="S31" s="1" t="s">
        <v>114</v>
      </c>
      <c r="U31" s="1" t="s">
        <v>114</v>
      </c>
      <c r="W31" s="1" t="s">
        <v>114</v>
      </c>
    </row>
    <row r="32" spans="1:23" x14ac:dyDescent="0.25">
      <c r="A32" s="6" t="s">
        <v>57</v>
      </c>
      <c r="B32" t="s">
        <v>42</v>
      </c>
      <c r="C32" t="s">
        <v>42</v>
      </c>
      <c r="D32" s="1">
        <v>2037.28</v>
      </c>
      <c r="E32" s="1" t="s">
        <v>113</v>
      </c>
      <c r="F32" s="1">
        <v>2037.28</v>
      </c>
      <c r="G32" s="1" t="s">
        <v>114</v>
      </c>
      <c r="H32" s="1">
        <v>2037.28</v>
      </c>
      <c r="I32" s="1" t="s">
        <v>114</v>
      </c>
      <c r="J32" s="1">
        <v>2037.28</v>
      </c>
      <c r="K32" s="1" t="s">
        <v>114</v>
      </c>
      <c r="L32" s="1">
        <v>2037.28</v>
      </c>
      <c r="M32" s="1" t="s">
        <v>114</v>
      </c>
      <c r="N32" s="1">
        <v>2037.28</v>
      </c>
      <c r="O32" s="1" t="s">
        <v>114</v>
      </c>
      <c r="Q32" s="1" t="s">
        <v>114</v>
      </c>
      <c r="S32" s="1" t="s">
        <v>114</v>
      </c>
      <c r="U32" s="1" t="s">
        <v>114</v>
      </c>
      <c r="W32" s="1" t="s">
        <v>114</v>
      </c>
    </row>
    <row r="33" spans="1:23" x14ac:dyDescent="0.25">
      <c r="A33" s="6" t="s">
        <v>57</v>
      </c>
      <c r="B33" t="s">
        <v>43</v>
      </c>
      <c r="C33" t="s">
        <v>44</v>
      </c>
      <c r="D33" s="1">
        <v>131.58000000000001</v>
      </c>
      <c r="E33" s="1" t="s">
        <v>113</v>
      </c>
      <c r="G33" s="1" t="s">
        <v>114</v>
      </c>
      <c r="I33" s="1" t="s">
        <v>114</v>
      </c>
      <c r="K33" s="1" t="s">
        <v>114</v>
      </c>
      <c r="M33" s="1" t="s">
        <v>114</v>
      </c>
      <c r="O33" s="1" t="s">
        <v>114</v>
      </c>
      <c r="Q33" s="1" t="s">
        <v>114</v>
      </c>
      <c r="S33" s="1" t="s">
        <v>114</v>
      </c>
      <c r="U33" s="1" t="s">
        <v>114</v>
      </c>
      <c r="W33" s="1" t="s">
        <v>114</v>
      </c>
    </row>
    <row r="34" spans="1:23" x14ac:dyDescent="0.25">
      <c r="A34" s="6" t="s">
        <v>57</v>
      </c>
      <c r="B34" t="s">
        <v>45</v>
      </c>
      <c r="C34" t="s">
        <v>45</v>
      </c>
      <c r="D34" s="1">
        <v>55.07</v>
      </c>
      <c r="E34" s="1" t="s">
        <v>113</v>
      </c>
      <c r="G34" s="1" t="s">
        <v>114</v>
      </c>
      <c r="I34" s="1" t="s">
        <v>114</v>
      </c>
      <c r="K34" s="1" t="s">
        <v>114</v>
      </c>
      <c r="M34" s="1" t="s">
        <v>114</v>
      </c>
      <c r="O34" s="1" t="s">
        <v>114</v>
      </c>
      <c r="Q34" s="1" t="s">
        <v>114</v>
      </c>
      <c r="S34" s="1" t="s">
        <v>114</v>
      </c>
      <c r="U34" s="1" t="s">
        <v>114</v>
      </c>
      <c r="W34" s="1" t="s">
        <v>114</v>
      </c>
    </row>
    <row r="35" spans="1:23" x14ac:dyDescent="0.25">
      <c r="A35" s="6" t="s">
        <v>57</v>
      </c>
      <c r="B35" t="s">
        <v>46</v>
      </c>
      <c r="C35" t="s">
        <v>46</v>
      </c>
      <c r="D35" s="1">
        <v>52.89</v>
      </c>
      <c r="E35" s="1" t="s">
        <v>113</v>
      </c>
      <c r="F35" s="1">
        <v>52.89</v>
      </c>
      <c r="G35" s="1" t="s">
        <v>114</v>
      </c>
      <c r="I35" s="1" t="s">
        <v>114</v>
      </c>
      <c r="K35" s="1" t="s">
        <v>114</v>
      </c>
      <c r="M35" s="1" t="s">
        <v>114</v>
      </c>
      <c r="O35" s="1" t="s">
        <v>114</v>
      </c>
      <c r="Q35" s="1" t="s">
        <v>114</v>
      </c>
      <c r="S35" s="1" t="s">
        <v>114</v>
      </c>
      <c r="U35" s="1" t="s">
        <v>114</v>
      </c>
      <c r="W35" s="1" t="s">
        <v>114</v>
      </c>
    </row>
    <row r="36" spans="1:23" x14ac:dyDescent="0.25">
      <c r="A36" s="6" t="s">
        <v>57</v>
      </c>
      <c r="B36" t="s">
        <v>47</v>
      </c>
      <c r="C36" t="s">
        <v>32</v>
      </c>
      <c r="D36" s="1">
        <v>149.65</v>
      </c>
      <c r="E36" s="1" t="s">
        <v>113</v>
      </c>
      <c r="F36" s="1">
        <v>149.65</v>
      </c>
      <c r="G36" s="1" t="s">
        <v>114</v>
      </c>
      <c r="H36" s="1">
        <v>149.65</v>
      </c>
      <c r="I36" s="1" t="s">
        <v>114</v>
      </c>
      <c r="K36" s="1" t="s">
        <v>114</v>
      </c>
      <c r="M36" s="1" t="s">
        <v>114</v>
      </c>
      <c r="O36" s="1" t="s">
        <v>114</v>
      </c>
      <c r="Q36" s="1" t="s">
        <v>114</v>
      </c>
      <c r="S36" s="1" t="s">
        <v>114</v>
      </c>
      <c r="U36" s="1" t="s">
        <v>114</v>
      </c>
      <c r="W36" s="1" t="s">
        <v>114</v>
      </c>
    </row>
    <row r="37" spans="1:23" x14ac:dyDescent="0.25">
      <c r="A37" s="8" t="s">
        <v>58</v>
      </c>
      <c r="B37" t="s">
        <v>49</v>
      </c>
      <c r="C37" t="s">
        <v>49</v>
      </c>
      <c r="D37" s="1">
        <v>410</v>
      </c>
      <c r="E37" s="1" t="s">
        <v>114</v>
      </c>
      <c r="G37" s="1" t="s">
        <v>114</v>
      </c>
      <c r="I37" s="1" t="s">
        <v>114</v>
      </c>
      <c r="K37" s="1" t="s">
        <v>114</v>
      </c>
      <c r="M37" s="1" t="s">
        <v>114</v>
      </c>
      <c r="O37" s="1" t="s">
        <v>114</v>
      </c>
      <c r="Q37" s="1" t="s">
        <v>114</v>
      </c>
      <c r="S37" s="1" t="s">
        <v>114</v>
      </c>
      <c r="U37" s="1" t="s">
        <v>114</v>
      </c>
      <c r="W37" s="1" t="s">
        <v>114</v>
      </c>
    </row>
    <row r="38" spans="1:23" x14ac:dyDescent="0.25">
      <c r="A38" s="8" t="s">
        <v>58</v>
      </c>
      <c r="B38" t="s">
        <v>21</v>
      </c>
      <c r="C38" t="s">
        <v>48</v>
      </c>
      <c r="D38" s="1">
        <v>525.58000000000004</v>
      </c>
      <c r="E38" s="1" t="s">
        <v>114</v>
      </c>
      <c r="F38" s="1">
        <v>532.22</v>
      </c>
      <c r="G38" s="1" t="s">
        <v>114</v>
      </c>
      <c r="I38" s="1" t="s">
        <v>114</v>
      </c>
      <c r="K38" s="1" t="s">
        <v>114</v>
      </c>
      <c r="M38" s="1" t="s">
        <v>114</v>
      </c>
      <c r="O38" s="1" t="s">
        <v>114</v>
      </c>
      <c r="Q38" s="1" t="s">
        <v>114</v>
      </c>
      <c r="S38" s="1" t="s">
        <v>114</v>
      </c>
      <c r="U38" s="1" t="s">
        <v>114</v>
      </c>
      <c r="W38" s="1" t="s">
        <v>114</v>
      </c>
    </row>
    <row r="39" spans="1:23" x14ac:dyDescent="0.25">
      <c r="A39" s="8" t="s">
        <v>58</v>
      </c>
      <c r="B39" t="s">
        <v>50</v>
      </c>
      <c r="C39" t="s">
        <v>50</v>
      </c>
      <c r="D39" s="1">
        <v>29</v>
      </c>
      <c r="E39" s="1" t="s">
        <v>114</v>
      </c>
      <c r="G39" s="1" t="s">
        <v>114</v>
      </c>
      <c r="I39" s="1" t="s">
        <v>114</v>
      </c>
      <c r="K39" s="1" t="s">
        <v>114</v>
      </c>
      <c r="M39" s="1" t="s">
        <v>114</v>
      </c>
      <c r="O39" s="1" t="s">
        <v>114</v>
      </c>
      <c r="Q39" s="1" t="s">
        <v>114</v>
      </c>
      <c r="S39" s="1" t="s">
        <v>114</v>
      </c>
      <c r="U39" s="1" t="s">
        <v>114</v>
      </c>
      <c r="W39" s="1" t="s">
        <v>114</v>
      </c>
    </row>
    <row r="40" spans="1:23" x14ac:dyDescent="0.25">
      <c r="A40" s="8" t="s">
        <v>58</v>
      </c>
      <c r="B40" t="s">
        <v>18</v>
      </c>
      <c r="C40" t="s">
        <v>18</v>
      </c>
      <c r="D40" s="1">
        <v>231.31</v>
      </c>
      <c r="E40" s="1" t="s">
        <v>114</v>
      </c>
      <c r="G40" s="1" t="s">
        <v>114</v>
      </c>
      <c r="I40" s="1" t="s">
        <v>114</v>
      </c>
      <c r="K40" s="1" t="s">
        <v>114</v>
      </c>
      <c r="M40" s="1" t="s">
        <v>114</v>
      </c>
      <c r="O40" s="1" t="s">
        <v>114</v>
      </c>
      <c r="Q40" s="1" t="s">
        <v>114</v>
      </c>
      <c r="S40" s="1" t="s">
        <v>114</v>
      </c>
      <c r="U40" s="1" t="s">
        <v>114</v>
      </c>
      <c r="W40" s="1" t="s">
        <v>114</v>
      </c>
    </row>
    <row r="41" spans="1:23" x14ac:dyDescent="0.25">
      <c r="A41" s="8" t="s">
        <v>58</v>
      </c>
      <c r="B41" t="s">
        <v>18</v>
      </c>
      <c r="C41" t="s">
        <v>18</v>
      </c>
      <c r="D41" s="1">
        <v>181.51</v>
      </c>
      <c r="E41" s="1" t="s">
        <v>114</v>
      </c>
      <c r="G41" s="1" t="s">
        <v>114</v>
      </c>
      <c r="I41" s="1" t="s">
        <v>114</v>
      </c>
      <c r="K41" s="1" t="s">
        <v>114</v>
      </c>
      <c r="M41" s="1" t="s">
        <v>114</v>
      </c>
      <c r="O41" s="1" t="s">
        <v>114</v>
      </c>
      <c r="Q41" s="1" t="s">
        <v>114</v>
      </c>
      <c r="S41" s="1" t="s">
        <v>114</v>
      </c>
      <c r="U41" s="1" t="s">
        <v>114</v>
      </c>
      <c r="W41" s="1" t="s">
        <v>114</v>
      </c>
    </row>
    <row r="42" spans="1:23" x14ac:dyDescent="0.25">
      <c r="A42" s="8" t="s">
        <v>58</v>
      </c>
      <c r="B42" t="s">
        <v>51</v>
      </c>
      <c r="C42" t="s">
        <v>52</v>
      </c>
      <c r="D42" s="1">
        <v>170.09</v>
      </c>
      <c r="E42" s="1" t="s">
        <v>114</v>
      </c>
      <c r="F42" s="1">
        <v>149.99</v>
      </c>
      <c r="G42" s="1" t="s">
        <v>114</v>
      </c>
      <c r="I42" s="1" t="s">
        <v>114</v>
      </c>
      <c r="K42" s="1" t="s">
        <v>114</v>
      </c>
      <c r="M42" s="1" t="s">
        <v>114</v>
      </c>
      <c r="O42" s="1" t="s">
        <v>114</v>
      </c>
      <c r="Q42" s="1" t="s">
        <v>114</v>
      </c>
      <c r="S42" s="1" t="s">
        <v>114</v>
      </c>
      <c r="U42" s="1" t="s">
        <v>114</v>
      </c>
      <c r="W42" s="1" t="s">
        <v>114</v>
      </c>
    </row>
    <row r="43" spans="1:23" x14ac:dyDescent="0.25">
      <c r="A43" s="3" t="s">
        <v>56</v>
      </c>
      <c r="B43" t="s">
        <v>53</v>
      </c>
      <c r="C43" t="s">
        <v>54</v>
      </c>
      <c r="D43" s="1">
        <v>944.76</v>
      </c>
      <c r="E43" s="1" t="s">
        <v>113</v>
      </c>
      <c r="F43" s="1">
        <v>602.16</v>
      </c>
      <c r="G43" s="1" t="s">
        <v>114</v>
      </c>
      <c r="H43" s="1">
        <v>408.69</v>
      </c>
      <c r="I43" s="1" t="s">
        <v>114</v>
      </c>
      <c r="J43" s="1">
        <v>408.69</v>
      </c>
      <c r="K43" s="1" t="s">
        <v>114</v>
      </c>
      <c r="L43" s="1">
        <v>389.07</v>
      </c>
      <c r="M43" s="1" t="s">
        <v>114</v>
      </c>
      <c r="N43" s="1">
        <v>335.13</v>
      </c>
      <c r="O43" s="1" t="s">
        <v>114</v>
      </c>
      <c r="P43" s="1">
        <v>335.13</v>
      </c>
      <c r="Q43" s="1" t="s">
        <v>114</v>
      </c>
      <c r="R43" s="1">
        <v>335.13</v>
      </c>
      <c r="S43" s="1" t="s">
        <v>114</v>
      </c>
      <c r="T43" s="1">
        <v>307.64999999999998</v>
      </c>
      <c r="U43" s="1" t="s">
        <v>114</v>
      </c>
      <c r="V43" s="1">
        <v>307.64999999999998</v>
      </c>
      <c r="W43" s="1" t="s">
        <v>114</v>
      </c>
    </row>
    <row r="44" spans="1:23" x14ac:dyDescent="0.25">
      <c r="A44" s="4" t="s">
        <v>55</v>
      </c>
      <c r="B44" t="s">
        <v>55</v>
      </c>
      <c r="C44" t="s">
        <v>54</v>
      </c>
      <c r="D44" s="1">
        <v>323.02999999999997</v>
      </c>
      <c r="E44" s="1" t="s">
        <v>114</v>
      </c>
      <c r="F44" s="1">
        <v>170.05</v>
      </c>
      <c r="G44" s="1" t="s">
        <v>114</v>
      </c>
      <c r="I44" s="1" t="s">
        <v>114</v>
      </c>
      <c r="K44" s="1" t="s">
        <v>114</v>
      </c>
      <c r="M44" s="1" t="s">
        <v>114</v>
      </c>
      <c r="O44" s="1" t="s">
        <v>114</v>
      </c>
      <c r="Q44" s="1" t="s">
        <v>114</v>
      </c>
      <c r="S44" s="1" t="s">
        <v>114</v>
      </c>
      <c r="U44" s="1" t="s">
        <v>114</v>
      </c>
      <c r="W44" s="1" t="s">
        <v>114</v>
      </c>
    </row>
    <row r="45" spans="1:23" x14ac:dyDescent="0.25">
      <c r="A45" s="9" t="s">
        <v>91</v>
      </c>
      <c r="B45" t="s">
        <v>60</v>
      </c>
      <c r="C45" t="s">
        <v>50</v>
      </c>
      <c r="D45" s="1">
        <v>56.99</v>
      </c>
      <c r="E45" s="1" t="s">
        <v>114</v>
      </c>
      <c r="F45" s="1">
        <v>44.89</v>
      </c>
      <c r="G45" s="1" t="s">
        <v>114</v>
      </c>
      <c r="I45" s="1" t="s">
        <v>114</v>
      </c>
      <c r="K45" s="1" t="s">
        <v>114</v>
      </c>
      <c r="M45" s="1" t="s">
        <v>114</v>
      </c>
      <c r="O45" s="1" t="s">
        <v>114</v>
      </c>
      <c r="Q45" s="1" t="s">
        <v>114</v>
      </c>
      <c r="S45" s="1" t="s">
        <v>114</v>
      </c>
      <c r="U45" s="1" t="s">
        <v>114</v>
      </c>
      <c r="W45" s="1" t="s">
        <v>114</v>
      </c>
    </row>
    <row r="46" spans="1:23" x14ac:dyDescent="0.25">
      <c r="A46" s="9" t="s">
        <v>91</v>
      </c>
      <c r="B46" s="2" t="s">
        <v>33</v>
      </c>
      <c r="C46" t="s">
        <v>33</v>
      </c>
      <c r="D46" s="1">
        <v>48.8</v>
      </c>
      <c r="E46" s="1" t="s">
        <v>114</v>
      </c>
      <c r="G46" s="1" t="s">
        <v>114</v>
      </c>
      <c r="I46" s="1" t="s">
        <v>114</v>
      </c>
      <c r="K46" s="1" t="s">
        <v>114</v>
      </c>
      <c r="M46" s="1" t="s">
        <v>114</v>
      </c>
      <c r="O46" s="1" t="s">
        <v>114</v>
      </c>
      <c r="Q46" s="1" t="s">
        <v>114</v>
      </c>
      <c r="S46" s="1" t="s">
        <v>114</v>
      </c>
      <c r="U46" s="1" t="s">
        <v>114</v>
      </c>
      <c r="W46" s="1" t="s">
        <v>114</v>
      </c>
    </row>
    <row r="47" spans="1:23" x14ac:dyDescent="0.25">
      <c r="A47" s="9" t="s">
        <v>91</v>
      </c>
      <c r="B47" t="s">
        <v>18</v>
      </c>
      <c r="C47" t="s">
        <v>18</v>
      </c>
      <c r="D47" s="1">
        <v>138.15</v>
      </c>
      <c r="E47" s="1" t="s">
        <v>114</v>
      </c>
      <c r="G47" s="1" t="s">
        <v>114</v>
      </c>
      <c r="I47" s="1" t="s">
        <v>114</v>
      </c>
      <c r="K47" s="1" t="s">
        <v>114</v>
      </c>
      <c r="M47" s="1" t="s">
        <v>114</v>
      </c>
      <c r="O47" s="1" t="s">
        <v>114</v>
      </c>
      <c r="Q47" s="1" t="s">
        <v>114</v>
      </c>
      <c r="S47" s="1" t="s">
        <v>114</v>
      </c>
      <c r="U47" s="1" t="s">
        <v>114</v>
      </c>
      <c r="W47" s="1" t="s">
        <v>114</v>
      </c>
    </row>
    <row r="48" spans="1:23" x14ac:dyDescent="0.25">
      <c r="A48" s="9" t="s">
        <v>91</v>
      </c>
      <c r="B48" t="s">
        <v>63</v>
      </c>
      <c r="C48" t="s">
        <v>50</v>
      </c>
      <c r="D48" s="1">
        <v>68.88</v>
      </c>
      <c r="E48" s="1" t="s">
        <v>114</v>
      </c>
      <c r="G48" s="1" t="s">
        <v>114</v>
      </c>
      <c r="I48" s="1" t="s">
        <v>114</v>
      </c>
      <c r="K48" s="1" t="s">
        <v>114</v>
      </c>
      <c r="M48" s="1" t="s">
        <v>114</v>
      </c>
      <c r="O48" s="1" t="s">
        <v>114</v>
      </c>
      <c r="Q48" s="1" t="s">
        <v>114</v>
      </c>
      <c r="S48" s="1" t="s">
        <v>114</v>
      </c>
      <c r="U48" s="1" t="s">
        <v>114</v>
      </c>
      <c r="W48" s="1" t="s">
        <v>114</v>
      </c>
    </row>
    <row r="49" spans="1:23" x14ac:dyDescent="0.25">
      <c r="A49" s="9" t="s">
        <v>91</v>
      </c>
      <c r="B49" t="s">
        <v>18</v>
      </c>
      <c r="C49" t="s">
        <v>18</v>
      </c>
      <c r="D49" s="1">
        <v>84.18</v>
      </c>
      <c r="E49" s="1" t="s">
        <v>114</v>
      </c>
      <c r="G49" s="1" t="s">
        <v>114</v>
      </c>
      <c r="I49" s="1" t="s">
        <v>114</v>
      </c>
      <c r="K49" s="1" t="s">
        <v>114</v>
      </c>
      <c r="M49" s="1" t="s">
        <v>114</v>
      </c>
      <c r="O49" s="1" t="s">
        <v>114</v>
      </c>
      <c r="Q49" s="1" t="s">
        <v>114</v>
      </c>
      <c r="S49" s="1" t="s">
        <v>114</v>
      </c>
      <c r="U49" s="1" t="s">
        <v>114</v>
      </c>
      <c r="W49" s="1" t="s">
        <v>114</v>
      </c>
    </row>
    <row r="50" spans="1:23" x14ac:dyDescent="0.25">
      <c r="A50" s="9" t="s">
        <v>91</v>
      </c>
      <c r="B50" t="s">
        <v>62</v>
      </c>
      <c r="C50" t="s">
        <v>33</v>
      </c>
      <c r="D50" s="1">
        <v>18.899999999999999</v>
      </c>
      <c r="E50" s="1" t="s">
        <v>114</v>
      </c>
      <c r="G50" s="1" t="s">
        <v>114</v>
      </c>
      <c r="I50" s="1" t="s">
        <v>114</v>
      </c>
      <c r="K50" s="1" t="s">
        <v>114</v>
      </c>
      <c r="M50" s="1" t="s">
        <v>114</v>
      </c>
      <c r="O50" s="1" t="s">
        <v>114</v>
      </c>
      <c r="Q50" s="1" t="s">
        <v>114</v>
      </c>
      <c r="S50" s="1" t="s">
        <v>114</v>
      </c>
      <c r="U50" s="1" t="s">
        <v>114</v>
      </c>
      <c r="W50" s="1" t="s">
        <v>114</v>
      </c>
    </row>
    <row r="51" spans="1:23" x14ac:dyDescent="0.25">
      <c r="A51" s="9" t="s">
        <v>91</v>
      </c>
      <c r="B51" t="s">
        <v>18</v>
      </c>
      <c r="C51" t="s">
        <v>18</v>
      </c>
      <c r="D51" s="1">
        <v>74.16</v>
      </c>
      <c r="E51" s="1" t="s">
        <v>114</v>
      </c>
      <c r="G51" s="1" t="s">
        <v>114</v>
      </c>
      <c r="I51" s="1" t="s">
        <v>114</v>
      </c>
      <c r="K51" s="1" t="s">
        <v>114</v>
      </c>
      <c r="M51" s="1" t="s">
        <v>114</v>
      </c>
      <c r="O51" s="1" t="s">
        <v>114</v>
      </c>
      <c r="Q51" s="1" t="s">
        <v>114</v>
      </c>
      <c r="S51" s="1" t="s">
        <v>114</v>
      </c>
      <c r="U51" s="1" t="s">
        <v>114</v>
      </c>
      <c r="W51" s="1" t="s">
        <v>114</v>
      </c>
    </row>
    <row r="52" spans="1:23" x14ac:dyDescent="0.25">
      <c r="A52" s="9" t="s">
        <v>91</v>
      </c>
      <c r="B52" t="s">
        <v>60</v>
      </c>
      <c r="C52" t="s">
        <v>50</v>
      </c>
      <c r="D52" s="1">
        <v>25.37</v>
      </c>
      <c r="E52" s="1" t="s">
        <v>114</v>
      </c>
      <c r="G52" s="1" t="s">
        <v>114</v>
      </c>
      <c r="I52" s="1" t="s">
        <v>114</v>
      </c>
      <c r="K52" s="1" t="s">
        <v>114</v>
      </c>
      <c r="M52" s="1" t="s">
        <v>114</v>
      </c>
      <c r="O52" s="1" t="s">
        <v>114</v>
      </c>
      <c r="Q52" s="1" t="s">
        <v>114</v>
      </c>
      <c r="S52" s="1" t="s">
        <v>114</v>
      </c>
      <c r="U52" s="1" t="s">
        <v>114</v>
      </c>
      <c r="W52" s="1" t="s">
        <v>114</v>
      </c>
    </row>
    <row r="53" spans="1:23" x14ac:dyDescent="0.25">
      <c r="A53" s="9" t="s">
        <v>91</v>
      </c>
      <c r="B53" t="s">
        <v>61</v>
      </c>
      <c r="C53" t="s">
        <v>50</v>
      </c>
      <c r="D53" s="1">
        <v>58.99</v>
      </c>
      <c r="E53" s="1" t="s">
        <v>114</v>
      </c>
      <c r="G53" s="1" t="s">
        <v>114</v>
      </c>
      <c r="I53" s="1" t="s">
        <v>114</v>
      </c>
      <c r="K53" s="1" t="s">
        <v>114</v>
      </c>
      <c r="M53" s="1" t="s">
        <v>114</v>
      </c>
      <c r="O53" s="1" t="s">
        <v>114</v>
      </c>
      <c r="Q53" s="1" t="s">
        <v>114</v>
      </c>
      <c r="S53" s="1" t="s">
        <v>114</v>
      </c>
      <c r="U53" s="1" t="s">
        <v>114</v>
      </c>
      <c r="W53" s="1" t="s">
        <v>114</v>
      </c>
    </row>
    <row r="54" spans="1:23" x14ac:dyDescent="0.25">
      <c r="A54" s="9" t="s">
        <v>91</v>
      </c>
      <c r="B54" t="s">
        <v>60</v>
      </c>
      <c r="C54" t="s">
        <v>50</v>
      </c>
      <c r="D54" s="1">
        <v>65.38</v>
      </c>
      <c r="E54" s="1" t="s">
        <v>114</v>
      </c>
      <c r="G54" s="1" t="s">
        <v>114</v>
      </c>
      <c r="I54" s="1" t="s">
        <v>114</v>
      </c>
      <c r="K54" s="1" t="s">
        <v>114</v>
      </c>
      <c r="M54" s="1" t="s">
        <v>114</v>
      </c>
      <c r="O54" s="1" t="s">
        <v>114</v>
      </c>
      <c r="Q54" s="1" t="s">
        <v>114</v>
      </c>
      <c r="S54" s="1" t="s">
        <v>114</v>
      </c>
      <c r="U54" s="1" t="s">
        <v>114</v>
      </c>
      <c r="W54" s="1" t="s">
        <v>114</v>
      </c>
    </row>
    <row r="55" spans="1:23" x14ac:dyDescent="0.25">
      <c r="A55" s="9" t="s">
        <v>91</v>
      </c>
      <c r="B55" t="s">
        <v>64</v>
      </c>
      <c r="C55" t="s">
        <v>65</v>
      </c>
      <c r="D55" s="1">
        <v>64</v>
      </c>
      <c r="E55" s="1" t="s">
        <v>114</v>
      </c>
      <c r="F55" s="1">
        <v>64</v>
      </c>
      <c r="G55" s="1" t="s">
        <v>114</v>
      </c>
      <c r="H55" s="1">
        <v>64</v>
      </c>
      <c r="I55" s="1" t="s">
        <v>114</v>
      </c>
      <c r="J55" s="1">
        <v>64</v>
      </c>
      <c r="K55" s="1" t="s">
        <v>114</v>
      </c>
      <c r="L55" s="1">
        <v>64</v>
      </c>
      <c r="M55" s="1" t="s">
        <v>114</v>
      </c>
      <c r="N55" s="1">
        <v>64</v>
      </c>
      <c r="O55" s="1" t="s">
        <v>114</v>
      </c>
      <c r="P55" s="1">
        <v>64</v>
      </c>
      <c r="Q55" s="1" t="s">
        <v>114</v>
      </c>
      <c r="R55" s="1">
        <v>64</v>
      </c>
      <c r="S55" s="1" t="s">
        <v>114</v>
      </c>
      <c r="T55" s="1">
        <v>64</v>
      </c>
      <c r="U55" s="1" t="s">
        <v>114</v>
      </c>
      <c r="V55" s="1">
        <v>64</v>
      </c>
      <c r="W55" s="1" t="s">
        <v>114</v>
      </c>
    </row>
    <row r="56" spans="1:23" x14ac:dyDescent="0.25">
      <c r="A56" s="9" t="s">
        <v>91</v>
      </c>
      <c r="B56" t="s">
        <v>69</v>
      </c>
      <c r="C56" t="s">
        <v>50</v>
      </c>
      <c r="D56" s="1">
        <v>22.16</v>
      </c>
      <c r="E56" s="1" t="s">
        <v>114</v>
      </c>
      <c r="G56" s="1" t="s">
        <v>114</v>
      </c>
      <c r="I56" s="1" t="s">
        <v>114</v>
      </c>
      <c r="K56" s="1" t="s">
        <v>114</v>
      </c>
      <c r="M56" s="1" t="s">
        <v>114</v>
      </c>
      <c r="O56" s="1" t="s">
        <v>114</v>
      </c>
      <c r="Q56" s="1" t="s">
        <v>114</v>
      </c>
      <c r="S56" s="1" t="s">
        <v>114</v>
      </c>
      <c r="U56" s="1" t="s">
        <v>114</v>
      </c>
      <c r="W56" s="1" t="s">
        <v>114</v>
      </c>
    </row>
    <row r="57" spans="1:23" x14ac:dyDescent="0.25">
      <c r="A57" s="9" t="s">
        <v>91</v>
      </c>
      <c r="B57" t="s">
        <v>69</v>
      </c>
      <c r="C57" t="s">
        <v>50</v>
      </c>
      <c r="D57" s="1">
        <v>19.46</v>
      </c>
      <c r="E57" s="1" t="s">
        <v>114</v>
      </c>
      <c r="G57" s="1" t="s">
        <v>114</v>
      </c>
      <c r="I57" s="1" t="s">
        <v>114</v>
      </c>
      <c r="K57" s="1" t="s">
        <v>114</v>
      </c>
      <c r="M57" s="1" t="s">
        <v>114</v>
      </c>
      <c r="O57" s="1" t="s">
        <v>114</v>
      </c>
      <c r="Q57" s="1" t="s">
        <v>114</v>
      </c>
      <c r="S57" s="1" t="s">
        <v>114</v>
      </c>
      <c r="U57" s="1" t="s">
        <v>114</v>
      </c>
      <c r="W57" s="1" t="s">
        <v>114</v>
      </c>
    </row>
    <row r="58" spans="1:23" x14ac:dyDescent="0.25">
      <c r="A58" s="9" t="s">
        <v>91</v>
      </c>
      <c r="B58" t="s">
        <v>66</v>
      </c>
      <c r="C58" t="s">
        <v>33</v>
      </c>
      <c r="D58" s="1">
        <v>34.9</v>
      </c>
      <c r="E58" s="1" t="s">
        <v>114</v>
      </c>
      <c r="G58" s="1" t="s">
        <v>114</v>
      </c>
      <c r="I58" s="1" t="s">
        <v>114</v>
      </c>
      <c r="K58" s="1" t="s">
        <v>114</v>
      </c>
      <c r="M58" s="1" t="s">
        <v>114</v>
      </c>
      <c r="O58" s="1" t="s">
        <v>114</v>
      </c>
      <c r="Q58" s="1" t="s">
        <v>114</v>
      </c>
      <c r="S58" s="1" t="s">
        <v>114</v>
      </c>
      <c r="U58" s="1" t="s">
        <v>114</v>
      </c>
      <c r="W58" s="1" t="s">
        <v>114</v>
      </c>
    </row>
    <row r="59" spans="1:23" x14ac:dyDescent="0.25">
      <c r="A59" s="9" t="s">
        <v>91</v>
      </c>
      <c r="B59" t="s">
        <v>18</v>
      </c>
      <c r="C59" t="s">
        <v>18</v>
      </c>
      <c r="D59" s="1">
        <v>101.73</v>
      </c>
      <c r="E59" s="1" t="s">
        <v>114</v>
      </c>
      <c r="G59" s="1" t="s">
        <v>114</v>
      </c>
      <c r="I59" s="1" t="s">
        <v>114</v>
      </c>
      <c r="K59" s="1" t="s">
        <v>114</v>
      </c>
      <c r="M59" s="1" t="s">
        <v>114</v>
      </c>
      <c r="O59" s="1" t="s">
        <v>114</v>
      </c>
      <c r="Q59" s="1" t="s">
        <v>114</v>
      </c>
      <c r="S59" s="1" t="s">
        <v>114</v>
      </c>
      <c r="U59" s="1" t="s">
        <v>114</v>
      </c>
      <c r="W59" s="1" t="s">
        <v>114</v>
      </c>
    </row>
    <row r="60" spans="1:23" x14ac:dyDescent="0.25">
      <c r="A60" s="9" t="s">
        <v>91</v>
      </c>
      <c r="B60" t="s">
        <v>67</v>
      </c>
      <c r="C60" t="s">
        <v>50</v>
      </c>
      <c r="D60" s="1">
        <v>60</v>
      </c>
      <c r="E60" s="1" t="s">
        <v>114</v>
      </c>
      <c r="G60" s="1" t="s">
        <v>114</v>
      </c>
      <c r="I60" s="1" t="s">
        <v>114</v>
      </c>
      <c r="K60" s="1" t="s">
        <v>114</v>
      </c>
      <c r="M60" s="1" t="s">
        <v>114</v>
      </c>
      <c r="O60" s="1" t="s">
        <v>114</v>
      </c>
      <c r="Q60" s="1" t="s">
        <v>114</v>
      </c>
      <c r="S60" s="1" t="s">
        <v>114</v>
      </c>
      <c r="U60" s="1" t="s">
        <v>114</v>
      </c>
      <c r="W60" s="1" t="s">
        <v>114</v>
      </c>
    </row>
    <row r="61" spans="1:23" x14ac:dyDescent="0.25">
      <c r="A61" s="9" t="s">
        <v>91</v>
      </c>
      <c r="B61" t="s">
        <v>68</v>
      </c>
      <c r="C61" t="s">
        <v>33</v>
      </c>
      <c r="D61" s="1">
        <v>69.989999999999995</v>
      </c>
      <c r="E61" s="1" t="s">
        <v>114</v>
      </c>
      <c r="G61" s="1" t="s">
        <v>114</v>
      </c>
      <c r="I61" s="1" t="s">
        <v>114</v>
      </c>
      <c r="K61" s="1" t="s">
        <v>114</v>
      </c>
      <c r="M61" s="1" t="s">
        <v>114</v>
      </c>
      <c r="O61" s="1" t="s">
        <v>114</v>
      </c>
      <c r="Q61" s="1" t="s">
        <v>114</v>
      </c>
      <c r="S61" s="1" t="s">
        <v>114</v>
      </c>
      <c r="U61" s="1" t="s">
        <v>114</v>
      </c>
      <c r="W61" s="1" t="s">
        <v>114</v>
      </c>
    </row>
    <row r="62" spans="1:23" x14ac:dyDescent="0.25">
      <c r="A62" s="9" t="s">
        <v>91</v>
      </c>
      <c r="B62" t="s">
        <v>18</v>
      </c>
      <c r="C62" t="s">
        <v>18</v>
      </c>
      <c r="D62" s="1">
        <v>70.31</v>
      </c>
      <c r="E62" s="1" t="s">
        <v>114</v>
      </c>
      <c r="G62" s="1" t="s">
        <v>114</v>
      </c>
      <c r="I62" s="1" t="s">
        <v>114</v>
      </c>
      <c r="K62" s="1" t="s">
        <v>114</v>
      </c>
      <c r="M62" s="1" t="s">
        <v>114</v>
      </c>
      <c r="O62" s="1" t="s">
        <v>114</v>
      </c>
      <c r="Q62" s="1" t="s">
        <v>114</v>
      </c>
      <c r="S62" s="1" t="s">
        <v>114</v>
      </c>
      <c r="U62" s="1" t="s">
        <v>114</v>
      </c>
      <c r="W62" s="1" t="s">
        <v>114</v>
      </c>
    </row>
    <row r="63" spans="1:23" x14ac:dyDescent="0.25">
      <c r="A63" s="9" t="s">
        <v>91</v>
      </c>
      <c r="B63" t="s">
        <v>35</v>
      </c>
      <c r="C63" t="s">
        <v>35</v>
      </c>
      <c r="D63" s="1">
        <v>14</v>
      </c>
      <c r="E63" s="1" t="s">
        <v>114</v>
      </c>
      <c r="F63" s="1">
        <v>35</v>
      </c>
      <c r="G63" s="1" t="s">
        <v>114</v>
      </c>
      <c r="I63" s="1" t="s">
        <v>114</v>
      </c>
      <c r="K63" s="1" t="s">
        <v>114</v>
      </c>
      <c r="M63" s="1" t="s">
        <v>114</v>
      </c>
      <c r="O63" s="1" t="s">
        <v>114</v>
      </c>
      <c r="Q63" s="1" t="s">
        <v>114</v>
      </c>
      <c r="S63" s="1" t="s">
        <v>114</v>
      </c>
      <c r="U63" s="1" t="s">
        <v>114</v>
      </c>
      <c r="W63" s="1" t="s">
        <v>114</v>
      </c>
    </row>
    <row r="64" spans="1:23" x14ac:dyDescent="0.25">
      <c r="A64" s="9" t="s">
        <v>91</v>
      </c>
      <c r="B64" t="s">
        <v>69</v>
      </c>
      <c r="C64" t="s">
        <v>50</v>
      </c>
      <c r="D64" s="1">
        <v>103</v>
      </c>
      <c r="E64" s="1" t="s">
        <v>114</v>
      </c>
      <c r="G64" s="1" t="s">
        <v>114</v>
      </c>
      <c r="I64" s="1" t="s">
        <v>114</v>
      </c>
      <c r="K64" s="1" t="s">
        <v>114</v>
      </c>
      <c r="M64" s="1" t="s">
        <v>114</v>
      </c>
      <c r="O64" s="1" t="s">
        <v>114</v>
      </c>
      <c r="Q64" s="1" t="s">
        <v>114</v>
      </c>
      <c r="S64" s="1" t="s">
        <v>114</v>
      </c>
      <c r="U64" s="1" t="s">
        <v>114</v>
      </c>
      <c r="W64" s="1" t="s">
        <v>114</v>
      </c>
    </row>
    <row r="65" spans="1:23" x14ac:dyDescent="0.25">
      <c r="A65" s="9" t="s">
        <v>91</v>
      </c>
      <c r="B65" t="s">
        <v>70</v>
      </c>
      <c r="C65" t="s">
        <v>71</v>
      </c>
      <c r="D65" s="1">
        <v>105.99</v>
      </c>
      <c r="E65" s="1" t="s">
        <v>114</v>
      </c>
      <c r="G65" s="1" t="s">
        <v>114</v>
      </c>
      <c r="I65" s="1" t="s">
        <v>114</v>
      </c>
      <c r="K65" s="1" t="s">
        <v>114</v>
      </c>
      <c r="M65" s="1" t="s">
        <v>114</v>
      </c>
      <c r="O65" s="1" t="s">
        <v>114</v>
      </c>
      <c r="Q65" s="1" t="s">
        <v>114</v>
      </c>
      <c r="S65" s="1" t="s">
        <v>114</v>
      </c>
      <c r="U65" s="1" t="s">
        <v>114</v>
      </c>
      <c r="W65" s="1" t="s">
        <v>114</v>
      </c>
    </row>
    <row r="66" spans="1:23" x14ac:dyDescent="0.25">
      <c r="A66" s="9" t="s">
        <v>91</v>
      </c>
      <c r="B66" s="2" t="s">
        <v>68</v>
      </c>
      <c r="C66" t="s">
        <v>33</v>
      </c>
      <c r="D66" s="1">
        <v>69.989999999999995</v>
      </c>
      <c r="E66" s="1" t="s">
        <v>114</v>
      </c>
      <c r="F66" s="1">
        <v>69.989999999999995</v>
      </c>
      <c r="G66" s="1" t="s">
        <v>114</v>
      </c>
      <c r="H66" s="1">
        <v>69.989999999999995</v>
      </c>
      <c r="I66" s="1" t="s">
        <v>114</v>
      </c>
      <c r="J66" s="1">
        <v>69.989999999999995</v>
      </c>
      <c r="K66" s="1" t="s">
        <v>114</v>
      </c>
      <c r="L66" s="1">
        <v>69.989999999999995</v>
      </c>
      <c r="M66" s="1" t="s">
        <v>114</v>
      </c>
      <c r="N66" s="1">
        <v>69.989999999999995</v>
      </c>
      <c r="O66" s="1" t="s">
        <v>114</v>
      </c>
      <c r="P66" s="1">
        <v>69.989999999999995</v>
      </c>
      <c r="Q66" s="1" t="s">
        <v>114</v>
      </c>
      <c r="R66" s="1">
        <v>69.989999999999995</v>
      </c>
      <c r="S66" s="1" t="s">
        <v>114</v>
      </c>
      <c r="T66" s="1">
        <v>69.989999999999995</v>
      </c>
      <c r="U66" s="1" t="s">
        <v>114</v>
      </c>
      <c r="V66" s="1">
        <v>69.989999999999995</v>
      </c>
      <c r="W66" s="1" t="s">
        <v>114</v>
      </c>
    </row>
    <row r="67" spans="1:23" x14ac:dyDescent="0.25">
      <c r="A67" s="9" t="s">
        <v>91</v>
      </c>
      <c r="B67" s="2" t="s">
        <v>33</v>
      </c>
      <c r="C67" t="s">
        <v>33</v>
      </c>
      <c r="D67" s="1">
        <v>19.989999999999998</v>
      </c>
      <c r="E67" s="1" t="s">
        <v>114</v>
      </c>
      <c r="G67" s="1" t="s">
        <v>114</v>
      </c>
      <c r="I67" s="1" t="s">
        <v>114</v>
      </c>
      <c r="K67" s="1" t="s">
        <v>114</v>
      </c>
      <c r="M67" s="1" t="s">
        <v>114</v>
      </c>
      <c r="O67" s="1" t="s">
        <v>114</v>
      </c>
      <c r="Q67" s="1" t="s">
        <v>114</v>
      </c>
      <c r="S67" s="1" t="s">
        <v>114</v>
      </c>
      <c r="U67" s="1" t="s">
        <v>114</v>
      </c>
      <c r="W67" s="1" t="s">
        <v>114</v>
      </c>
    </row>
    <row r="68" spans="1:23" x14ac:dyDescent="0.25">
      <c r="A68" s="9" t="s">
        <v>91</v>
      </c>
      <c r="B68" s="2" t="s">
        <v>33</v>
      </c>
      <c r="C68" t="s">
        <v>33</v>
      </c>
      <c r="D68" s="1">
        <v>9.99</v>
      </c>
      <c r="E68" s="1" t="s">
        <v>114</v>
      </c>
      <c r="F68" s="1">
        <v>9.99</v>
      </c>
      <c r="G68" s="1" t="s">
        <v>114</v>
      </c>
      <c r="H68" s="1">
        <v>9.99</v>
      </c>
      <c r="I68" s="1" t="s">
        <v>114</v>
      </c>
      <c r="J68" s="1">
        <v>9.99</v>
      </c>
      <c r="K68" s="1" t="s">
        <v>114</v>
      </c>
      <c r="L68" s="1">
        <v>9.99</v>
      </c>
      <c r="M68" s="1" t="s">
        <v>114</v>
      </c>
      <c r="N68" s="1">
        <v>9.99</v>
      </c>
      <c r="O68" s="1" t="s">
        <v>114</v>
      </c>
      <c r="P68" s="1">
        <v>9.99</v>
      </c>
      <c r="Q68" s="1" t="s">
        <v>114</v>
      </c>
      <c r="R68" s="1">
        <v>9.99</v>
      </c>
      <c r="S68" s="1" t="s">
        <v>114</v>
      </c>
      <c r="T68" s="1">
        <v>9.99</v>
      </c>
      <c r="U68" s="1" t="s">
        <v>114</v>
      </c>
      <c r="V68" s="1">
        <v>9.99</v>
      </c>
      <c r="W68" s="1" t="s">
        <v>114</v>
      </c>
    </row>
    <row r="69" spans="1:23" x14ac:dyDescent="0.25">
      <c r="A69" s="9" t="s">
        <v>91</v>
      </c>
      <c r="B69" t="s">
        <v>69</v>
      </c>
      <c r="C69" t="s">
        <v>50</v>
      </c>
      <c r="D69" s="1">
        <v>17</v>
      </c>
      <c r="E69" s="1" t="s">
        <v>114</v>
      </c>
      <c r="G69" s="1" t="s">
        <v>114</v>
      </c>
      <c r="I69" s="1" t="s">
        <v>114</v>
      </c>
      <c r="K69" s="1" t="s">
        <v>114</v>
      </c>
      <c r="M69" s="1" t="s">
        <v>114</v>
      </c>
      <c r="O69" s="1" t="s">
        <v>114</v>
      </c>
      <c r="Q69" s="1" t="s">
        <v>114</v>
      </c>
      <c r="S69" s="1" t="s">
        <v>114</v>
      </c>
      <c r="U69" s="1" t="s">
        <v>114</v>
      </c>
      <c r="W69" s="1" t="s">
        <v>114</v>
      </c>
    </row>
    <row r="70" spans="1:23" x14ac:dyDescent="0.25">
      <c r="A70" s="9" t="s">
        <v>91</v>
      </c>
      <c r="B70" t="s">
        <v>18</v>
      </c>
      <c r="C70" t="s">
        <v>18</v>
      </c>
      <c r="D70" s="1">
        <v>103.36</v>
      </c>
      <c r="E70" s="1" t="s">
        <v>114</v>
      </c>
      <c r="G70" s="1" t="s">
        <v>114</v>
      </c>
      <c r="I70" s="1" t="s">
        <v>114</v>
      </c>
      <c r="K70" s="1" t="s">
        <v>114</v>
      </c>
      <c r="M70" s="1" t="s">
        <v>114</v>
      </c>
      <c r="O70" s="1" t="s">
        <v>114</v>
      </c>
      <c r="Q70" s="1" t="s">
        <v>114</v>
      </c>
      <c r="S70" s="1" t="s">
        <v>114</v>
      </c>
      <c r="U70" s="1" t="s">
        <v>114</v>
      </c>
      <c r="W70" s="1" t="s">
        <v>114</v>
      </c>
    </row>
    <row r="71" spans="1:23" x14ac:dyDescent="0.25">
      <c r="A71" s="9" t="s">
        <v>91</v>
      </c>
      <c r="B71" t="s">
        <v>72</v>
      </c>
      <c r="C71" t="s">
        <v>50</v>
      </c>
      <c r="D71" s="1">
        <v>25</v>
      </c>
      <c r="E71" s="1" t="s">
        <v>114</v>
      </c>
      <c r="G71" s="1" t="s">
        <v>114</v>
      </c>
      <c r="I71" s="1" t="s">
        <v>114</v>
      </c>
      <c r="K71" s="1" t="s">
        <v>114</v>
      </c>
      <c r="M71" s="1" t="s">
        <v>114</v>
      </c>
      <c r="O71" s="1" t="s">
        <v>114</v>
      </c>
      <c r="Q71" s="1" t="s">
        <v>114</v>
      </c>
      <c r="S71" s="1" t="s">
        <v>114</v>
      </c>
      <c r="U71" s="1" t="s">
        <v>114</v>
      </c>
      <c r="W71" s="1" t="s">
        <v>114</v>
      </c>
    </row>
    <row r="72" spans="1:23" x14ac:dyDescent="0.25">
      <c r="A72" s="9" t="s">
        <v>91</v>
      </c>
      <c r="B72" t="s">
        <v>19</v>
      </c>
      <c r="C72" t="s">
        <v>34</v>
      </c>
      <c r="D72" s="1">
        <v>51.1</v>
      </c>
      <c r="E72" s="1" t="s">
        <v>114</v>
      </c>
      <c r="G72" s="1" t="s">
        <v>114</v>
      </c>
      <c r="I72" s="1" t="s">
        <v>114</v>
      </c>
      <c r="K72" s="1" t="s">
        <v>114</v>
      </c>
      <c r="M72" s="1" t="s">
        <v>114</v>
      </c>
      <c r="O72" s="1" t="s">
        <v>114</v>
      </c>
      <c r="Q72" s="1" t="s">
        <v>114</v>
      </c>
      <c r="S72" s="1" t="s">
        <v>114</v>
      </c>
      <c r="U72" s="1" t="s">
        <v>114</v>
      </c>
      <c r="W72" s="1" t="s">
        <v>114</v>
      </c>
    </row>
    <row r="73" spans="1:23" x14ac:dyDescent="0.25">
      <c r="A73" s="9" t="s">
        <v>91</v>
      </c>
      <c r="B73" t="s">
        <v>73</v>
      </c>
      <c r="C73" t="s">
        <v>41</v>
      </c>
      <c r="D73" s="1">
        <v>160.02000000000001</v>
      </c>
      <c r="E73" s="1" t="s">
        <v>114</v>
      </c>
      <c r="G73" s="1" t="s">
        <v>114</v>
      </c>
      <c r="I73" s="1" t="s">
        <v>114</v>
      </c>
      <c r="K73" s="1" t="s">
        <v>114</v>
      </c>
      <c r="M73" s="1" t="s">
        <v>114</v>
      </c>
      <c r="O73" s="1" t="s">
        <v>114</v>
      </c>
      <c r="Q73" s="1" t="s">
        <v>114</v>
      </c>
      <c r="S73" s="1" t="s">
        <v>114</v>
      </c>
      <c r="U73" s="1" t="s">
        <v>114</v>
      </c>
      <c r="W73" s="1" t="s">
        <v>114</v>
      </c>
    </row>
    <row r="74" spans="1:23" x14ac:dyDescent="0.25">
      <c r="A74" s="9" t="s">
        <v>91</v>
      </c>
      <c r="B74" t="s">
        <v>95</v>
      </c>
      <c r="C74" t="s">
        <v>38</v>
      </c>
      <c r="D74" s="1">
        <v>0.01</v>
      </c>
      <c r="E74" s="1" t="s">
        <v>114</v>
      </c>
      <c r="F74" s="1">
        <v>50</v>
      </c>
      <c r="G74" s="1" t="s">
        <v>114</v>
      </c>
      <c r="I74" s="1" t="s">
        <v>114</v>
      </c>
      <c r="K74" s="1" t="s">
        <v>114</v>
      </c>
      <c r="M74" s="1" t="s">
        <v>114</v>
      </c>
      <c r="O74" s="1" t="s">
        <v>114</v>
      </c>
      <c r="Q74" s="1" t="s">
        <v>114</v>
      </c>
      <c r="S74" s="1" t="s">
        <v>114</v>
      </c>
      <c r="U74" s="1" t="s">
        <v>114</v>
      </c>
      <c r="W74" s="1" t="s">
        <v>114</v>
      </c>
    </row>
    <row r="75" spans="1:23" x14ac:dyDescent="0.25">
      <c r="A75" s="9" t="s">
        <v>91</v>
      </c>
      <c r="B75" t="s">
        <v>74</v>
      </c>
      <c r="C75" t="s">
        <v>41</v>
      </c>
      <c r="D75" s="1">
        <v>9.7100000000000009</v>
      </c>
      <c r="E75" s="1" t="s">
        <v>114</v>
      </c>
      <c r="F75" s="1">
        <v>9.7100000000000009</v>
      </c>
      <c r="G75" s="1" t="s">
        <v>114</v>
      </c>
      <c r="H75" s="1">
        <v>9.7100000000000009</v>
      </c>
      <c r="I75" s="1" t="s">
        <v>114</v>
      </c>
      <c r="J75" s="1">
        <v>9.7100000000000009</v>
      </c>
      <c r="K75" s="1" t="s">
        <v>114</v>
      </c>
      <c r="L75" s="1">
        <v>9.7100000000000009</v>
      </c>
      <c r="M75" s="1" t="s">
        <v>114</v>
      </c>
      <c r="N75" s="1">
        <v>9.7100000000000009</v>
      </c>
      <c r="O75" s="1" t="s">
        <v>114</v>
      </c>
      <c r="P75" s="1">
        <v>9.7100000000000009</v>
      </c>
      <c r="Q75" s="1" t="s">
        <v>114</v>
      </c>
      <c r="R75" s="1">
        <v>9.7100000000000009</v>
      </c>
      <c r="S75" s="1" t="s">
        <v>114</v>
      </c>
      <c r="T75" s="1">
        <v>9.7100000000000009</v>
      </c>
      <c r="U75" s="1" t="s">
        <v>114</v>
      </c>
      <c r="V75" s="1">
        <v>9.7100000000000009</v>
      </c>
      <c r="W75" s="1" t="s">
        <v>114</v>
      </c>
    </row>
    <row r="76" spans="1:23" x14ac:dyDescent="0.25">
      <c r="A76" s="9" t="s">
        <v>91</v>
      </c>
      <c r="B76" t="s">
        <v>92</v>
      </c>
      <c r="C76" t="s">
        <v>46</v>
      </c>
      <c r="D76" s="1">
        <v>59.76</v>
      </c>
      <c r="E76" s="1" t="s">
        <v>114</v>
      </c>
      <c r="G76" s="1" t="s">
        <v>114</v>
      </c>
      <c r="I76" s="1" t="s">
        <v>114</v>
      </c>
      <c r="K76" s="1" t="s">
        <v>114</v>
      </c>
      <c r="M76" s="1" t="s">
        <v>114</v>
      </c>
      <c r="O76" s="1" t="s">
        <v>114</v>
      </c>
      <c r="Q76" s="1" t="s">
        <v>114</v>
      </c>
      <c r="S76" s="1" t="s">
        <v>114</v>
      </c>
      <c r="U76" s="1" t="s">
        <v>114</v>
      </c>
      <c r="W76" s="1" t="s">
        <v>114</v>
      </c>
    </row>
    <row r="77" spans="1:23" x14ac:dyDescent="0.25">
      <c r="A77" s="9" t="s">
        <v>91</v>
      </c>
      <c r="B77" t="s">
        <v>35</v>
      </c>
      <c r="C77" t="s">
        <v>35</v>
      </c>
      <c r="D77" s="1">
        <v>73.3</v>
      </c>
      <c r="E77" s="1" t="s">
        <v>114</v>
      </c>
      <c r="G77" s="1" t="s">
        <v>114</v>
      </c>
      <c r="I77" s="1" t="s">
        <v>114</v>
      </c>
      <c r="K77" s="1" t="s">
        <v>114</v>
      </c>
      <c r="M77" s="1" t="s">
        <v>114</v>
      </c>
      <c r="O77" s="1" t="s">
        <v>114</v>
      </c>
      <c r="Q77" s="1" t="s">
        <v>114</v>
      </c>
      <c r="S77" s="1" t="s">
        <v>114</v>
      </c>
      <c r="U77" s="1" t="s">
        <v>114</v>
      </c>
      <c r="W77" s="1" t="s">
        <v>114</v>
      </c>
    </row>
    <row r="78" spans="1:23" x14ac:dyDescent="0.25">
      <c r="A78" s="9" t="s">
        <v>91</v>
      </c>
      <c r="B78" t="s">
        <v>10</v>
      </c>
      <c r="C78" t="s">
        <v>10</v>
      </c>
      <c r="D78" s="1">
        <v>37.450000000000003</v>
      </c>
      <c r="E78" s="1" t="s">
        <v>114</v>
      </c>
      <c r="F78" s="1">
        <f>37.45+50.62</f>
        <v>88.07</v>
      </c>
      <c r="G78" s="1" t="s">
        <v>114</v>
      </c>
      <c r="H78" s="1">
        <v>50.62</v>
      </c>
      <c r="I78" s="1" t="s">
        <v>114</v>
      </c>
      <c r="J78" s="1">
        <v>50.62</v>
      </c>
      <c r="K78" s="1" t="s">
        <v>114</v>
      </c>
      <c r="L78" s="1">
        <v>50.62</v>
      </c>
      <c r="M78" s="1" t="s">
        <v>114</v>
      </c>
      <c r="O78" s="1" t="s">
        <v>114</v>
      </c>
      <c r="Q78" s="1" t="s">
        <v>114</v>
      </c>
      <c r="S78" s="1" t="s">
        <v>114</v>
      </c>
      <c r="U78" s="1" t="s">
        <v>114</v>
      </c>
      <c r="W78" s="1" t="s">
        <v>114</v>
      </c>
    </row>
    <row r="79" spans="1:23" x14ac:dyDescent="0.25">
      <c r="A79" s="9" t="s">
        <v>91</v>
      </c>
      <c r="B79" t="s">
        <v>75</v>
      </c>
      <c r="C79" t="s">
        <v>50</v>
      </c>
      <c r="D79" s="1">
        <v>10.16</v>
      </c>
      <c r="E79" s="1" t="s">
        <v>114</v>
      </c>
      <c r="F79" s="1">
        <v>10.16</v>
      </c>
      <c r="G79" s="1" t="s">
        <v>114</v>
      </c>
      <c r="H79" s="1">
        <v>10.16</v>
      </c>
      <c r="I79" s="1" t="s">
        <v>114</v>
      </c>
      <c r="J79" s="1">
        <v>10.16</v>
      </c>
      <c r="K79" s="1" t="s">
        <v>114</v>
      </c>
      <c r="L79" s="1">
        <v>10.16</v>
      </c>
      <c r="M79" s="1" t="s">
        <v>114</v>
      </c>
      <c r="N79" s="1">
        <v>10.16</v>
      </c>
      <c r="O79" s="1" t="s">
        <v>114</v>
      </c>
      <c r="P79" s="1">
        <v>10.16</v>
      </c>
      <c r="Q79" s="1" t="s">
        <v>114</v>
      </c>
      <c r="R79" s="1">
        <v>10.16</v>
      </c>
      <c r="S79" s="1" t="s">
        <v>114</v>
      </c>
      <c r="U79" s="1" t="s">
        <v>114</v>
      </c>
      <c r="W79" s="1" t="s">
        <v>114</v>
      </c>
    </row>
    <row r="80" spans="1:23" x14ac:dyDescent="0.25">
      <c r="A80" s="9" t="s">
        <v>91</v>
      </c>
      <c r="B80" t="s">
        <v>93</v>
      </c>
      <c r="C80" t="s">
        <v>31</v>
      </c>
      <c r="D80" s="1">
        <v>65.069999999999993</v>
      </c>
      <c r="E80" s="1" t="s">
        <v>114</v>
      </c>
      <c r="F80" s="1">
        <v>65.069999999999993</v>
      </c>
      <c r="G80" s="1" t="s">
        <v>114</v>
      </c>
      <c r="H80" s="1">
        <v>65.069999999999993</v>
      </c>
      <c r="I80" s="1" t="s">
        <v>114</v>
      </c>
      <c r="J80" s="1">
        <v>65.069999999999993</v>
      </c>
      <c r="K80" s="1" t="s">
        <v>114</v>
      </c>
      <c r="L80" s="1">
        <v>65.069999999999993</v>
      </c>
      <c r="M80" s="1" t="s">
        <v>114</v>
      </c>
      <c r="N80" s="1">
        <v>65.069999999999993</v>
      </c>
      <c r="O80" s="1" t="s">
        <v>114</v>
      </c>
      <c r="P80" s="1">
        <v>65.069999999999993</v>
      </c>
      <c r="Q80" s="1" t="s">
        <v>114</v>
      </c>
      <c r="R80" s="1">
        <v>65.069999999999993</v>
      </c>
      <c r="S80" s="1" t="s">
        <v>114</v>
      </c>
      <c r="U80" s="1" t="s">
        <v>114</v>
      </c>
      <c r="W80" s="1" t="s">
        <v>114</v>
      </c>
    </row>
    <row r="81" spans="1:23" x14ac:dyDescent="0.25">
      <c r="A81" s="9" t="s">
        <v>91</v>
      </c>
      <c r="B81" t="s">
        <v>41</v>
      </c>
      <c r="C81" t="s">
        <v>41</v>
      </c>
      <c r="D81" s="1">
        <v>36.979999999999997</v>
      </c>
      <c r="E81" s="1" t="s">
        <v>114</v>
      </c>
      <c r="F81" s="1">
        <f>39.98+47.45</f>
        <v>87.43</v>
      </c>
      <c r="G81" s="1" t="s">
        <v>114</v>
      </c>
      <c r="H81" s="1">
        <f>39.98+47.45</f>
        <v>87.43</v>
      </c>
      <c r="I81" s="1" t="s">
        <v>114</v>
      </c>
      <c r="J81" s="1">
        <v>39.979999999999997</v>
      </c>
      <c r="K81" s="1" t="s">
        <v>114</v>
      </c>
      <c r="M81" s="1" t="s">
        <v>114</v>
      </c>
      <c r="O81" s="1" t="s">
        <v>114</v>
      </c>
      <c r="Q81" s="1" t="s">
        <v>114</v>
      </c>
      <c r="S81" s="1" t="s">
        <v>114</v>
      </c>
      <c r="U81" s="1" t="s">
        <v>114</v>
      </c>
      <c r="W81" s="1" t="s">
        <v>114</v>
      </c>
    </row>
    <row r="82" spans="1:23" x14ac:dyDescent="0.25">
      <c r="A82" s="9" t="s">
        <v>91</v>
      </c>
      <c r="B82" t="s">
        <v>10</v>
      </c>
      <c r="C82" t="s">
        <v>10</v>
      </c>
      <c r="D82" s="1">
        <v>71.98</v>
      </c>
      <c r="E82" s="1" t="s">
        <v>114</v>
      </c>
      <c r="G82" s="1" t="s">
        <v>114</v>
      </c>
      <c r="I82" s="1" t="s">
        <v>114</v>
      </c>
      <c r="K82" s="1" t="s">
        <v>114</v>
      </c>
      <c r="M82" s="1" t="s">
        <v>114</v>
      </c>
      <c r="O82" s="1" t="s">
        <v>114</v>
      </c>
      <c r="Q82" s="1" t="s">
        <v>114</v>
      </c>
      <c r="S82" s="1" t="s">
        <v>114</v>
      </c>
      <c r="U82" s="1" t="s">
        <v>114</v>
      </c>
      <c r="W82" s="1" t="s">
        <v>114</v>
      </c>
    </row>
    <row r="83" spans="1:23" x14ac:dyDescent="0.25">
      <c r="A83" s="9" t="s">
        <v>91</v>
      </c>
      <c r="B83" t="s">
        <v>94</v>
      </c>
      <c r="C83" t="s">
        <v>38</v>
      </c>
      <c r="D83" s="1">
        <v>9.98</v>
      </c>
      <c r="E83" s="1" t="s">
        <v>114</v>
      </c>
      <c r="F83" s="1">
        <v>9.98</v>
      </c>
      <c r="G83" s="1" t="s">
        <v>114</v>
      </c>
      <c r="H83" s="1">
        <v>9.98</v>
      </c>
      <c r="I83" s="1" t="s">
        <v>114</v>
      </c>
      <c r="J83" s="1">
        <v>9.98</v>
      </c>
      <c r="K83" s="1" t="s">
        <v>114</v>
      </c>
      <c r="L83" s="1">
        <v>9.98</v>
      </c>
      <c r="M83" s="1" t="s">
        <v>114</v>
      </c>
      <c r="N83" s="1">
        <v>9.98</v>
      </c>
      <c r="O83" s="1" t="s">
        <v>114</v>
      </c>
      <c r="P83" s="1">
        <v>9.98</v>
      </c>
      <c r="Q83" s="1" t="s">
        <v>114</v>
      </c>
      <c r="R83" s="1">
        <v>9.98</v>
      </c>
      <c r="S83" s="1" t="s">
        <v>114</v>
      </c>
      <c r="T83" s="1">
        <v>9.98</v>
      </c>
      <c r="U83" s="1" t="s">
        <v>114</v>
      </c>
      <c r="V83" s="1">
        <v>9.98</v>
      </c>
      <c r="W83" s="1" t="s">
        <v>114</v>
      </c>
    </row>
    <row r="84" spans="1:23" x14ac:dyDescent="0.25">
      <c r="A84" s="9" t="s">
        <v>91</v>
      </c>
      <c r="B84" t="s">
        <v>70</v>
      </c>
      <c r="C84" t="s">
        <v>34</v>
      </c>
      <c r="D84" s="1">
        <v>108.77</v>
      </c>
      <c r="E84" s="1" t="s">
        <v>114</v>
      </c>
      <c r="G84" s="1" t="s">
        <v>114</v>
      </c>
      <c r="I84" s="1" t="s">
        <v>114</v>
      </c>
      <c r="K84" s="1" t="s">
        <v>114</v>
      </c>
      <c r="M84" s="1" t="s">
        <v>114</v>
      </c>
      <c r="O84" s="1" t="s">
        <v>114</v>
      </c>
      <c r="Q84" s="1" t="s">
        <v>114</v>
      </c>
      <c r="S84" s="1" t="s">
        <v>114</v>
      </c>
      <c r="U84" s="1" t="s">
        <v>114</v>
      </c>
      <c r="W84" s="1" t="s">
        <v>114</v>
      </c>
    </row>
    <row r="85" spans="1:23" x14ac:dyDescent="0.25">
      <c r="A85" s="9" t="s">
        <v>91</v>
      </c>
      <c r="B85" t="s">
        <v>41</v>
      </c>
      <c r="C85" t="s">
        <v>41</v>
      </c>
      <c r="D85" s="1">
        <v>44.9</v>
      </c>
      <c r="E85" s="1" t="s">
        <v>114</v>
      </c>
      <c r="F85" s="1">
        <v>13.99</v>
      </c>
      <c r="G85" s="1" t="s">
        <v>114</v>
      </c>
      <c r="H85" s="1">
        <v>13.99</v>
      </c>
      <c r="I85" s="1" t="s">
        <v>114</v>
      </c>
      <c r="J85" s="1">
        <v>13.99</v>
      </c>
      <c r="K85" s="1" t="s">
        <v>114</v>
      </c>
      <c r="L85" s="1">
        <v>13.99</v>
      </c>
      <c r="M85" s="1" t="s">
        <v>114</v>
      </c>
      <c r="N85" s="1">
        <v>13.99</v>
      </c>
      <c r="O85" s="1" t="s">
        <v>114</v>
      </c>
      <c r="P85" s="1">
        <v>13.99</v>
      </c>
      <c r="Q85" s="1" t="s">
        <v>114</v>
      </c>
      <c r="R85" s="1">
        <v>13.99</v>
      </c>
      <c r="S85" s="1" t="s">
        <v>114</v>
      </c>
      <c r="T85" s="1">
        <v>13.99</v>
      </c>
      <c r="U85" s="1" t="s">
        <v>114</v>
      </c>
      <c r="V85" s="1">
        <v>13.99</v>
      </c>
      <c r="W85" s="1" t="s">
        <v>114</v>
      </c>
    </row>
    <row r="86" spans="1:23" x14ac:dyDescent="0.25">
      <c r="A86" s="9" t="s">
        <v>91</v>
      </c>
      <c r="B86" t="s">
        <v>10</v>
      </c>
      <c r="C86" t="s">
        <v>10</v>
      </c>
      <c r="D86" s="1">
        <v>62.66</v>
      </c>
      <c r="E86" s="1" t="s">
        <v>114</v>
      </c>
      <c r="G86" s="1" t="s">
        <v>114</v>
      </c>
      <c r="I86" s="1" t="s">
        <v>114</v>
      </c>
      <c r="K86" s="1" t="s">
        <v>114</v>
      </c>
      <c r="M86" s="1" t="s">
        <v>114</v>
      </c>
      <c r="O86" s="1" t="s">
        <v>114</v>
      </c>
      <c r="Q86" s="1" t="s">
        <v>114</v>
      </c>
      <c r="S86" s="1" t="s">
        <v>114</v>
      </c>
      <c r="U86" s="1" t="s">
        <v>114</v>
      </c>
      <c r="W86" s="1" t="s">
        <v>114</v>
      </c>
    </row>
    <row r="87" spans="1:23" x14ac:dyDescent="0.25">
      <c r="A87" s="9" t="s">
        <v>91</v>
      </c>
      <c r="B87" t="s">
        <v>70</v>
      </c>
      <c r="C87" t="s">
        <v>34</v>
      </c>
      <c r="D87" s="1">
        <v>113.44</v>
      </c>
      <c r="E87" s="1" t="s">
        <v>114</v>
      </c>
      <c r="F87" s="1">
        <v>113.44</v>
      </c>
      <c r="G87" s="1" t="s">
        <v>114</v>
      </c>
      <c r="I87" s="1" t="s">
        <v>114</v>
      </c>
      <c r="K87" s="1" t="s">
        <v>114</v>
      </c>
      <c r="M87" s="1" t="s">
        <v>114</v>
      </c>
      <c r="O87" s="1" t="s">
        <v>114</v>
      </c>
      <c r="Q87" s="1" t="s">
        <v>114</v>
      </c>
      <c r="S87" s="1" t="s">
        <v>114</v>
      </c>
      <c r="U87" s="1" t="s">
        <v>114</v>
      </c>
      <c r="W87" s="1" t="s">
        <v>114</v>
      </c>
    </row>
    <row r="88" spans="1:23" x14ac:dyDescent="0.25">
      <c r="A88" s="10" t="s">
        <v>59</v>
      </c>
      <c r="B88" t="s">
        <v>76</v>
      </c>
      <c r="C88" t="s">
        <v>38</v>
      </c>
      <c r="D88" s="1">
        <v>45.18</v>
      </c>
      <c r="E88" s="1" t="s">
        <v>114</v>
      </c>
      <c r="F88" s="1">
        <v>66.78</v>
      </c>
      <c r="G88" s="1" t="s">
        <v>114</v>
      </c>
      <c r="I88" s="1" t="s">
        <v>114</v>
      </c>
      <c r="K88" s="1" t="s">
        <v>114</v>
      </c>
      <c r="M88" s="1" t="s">
        <v>114</v>
      </c>
      <c r="O88" s="1" t="s">
        <v>114</v>
      </c>
      <c r="Q88" s="1" t="s">
        <v>114</v>
      </c>
      <c r="S88" s="1" t="s">
        <v>114</v>
      </c>
      <c r="U88" s="1" t="s">
        <v>114</v>
      </c>
      <c r="W88" s="1" t="s">
        <v>114</v>
      </c>
    </row>
    <row r="89" spans="1:23" x14ac:dyDescent="0.25">
      <c r="A89" s="10" t="s">
        <v>59</v>
      </c>
      <c r="B89" s="2" t="s">
        <v>77</v>
      </c>
      <c r="C89" t="s">
        <v>33</v>
      </c>
      <c r="D89" s="1">
        <v>33.4</v>
      </c>
      <c r="E89" s="1" t="s">
        <v>114</v>
      </c>
      <c r="F89" s="1">
        <v>33.4</v>
      </c>
      <c r="G89" s="1" t="s">
        <v>114</v>
      </c>
      <c r="H89" s="1">
        <v>33.4</v>
      </c>
      <c r="I89" s="1" t="s">
        <v>114</v>
      </c>
      <c r="J89" s="1">
        <v>33.4</v>
      </c>
      <c r="K89" s="1" t="s">
        <v>114</v>
      </c>
      <c r="L89" s="1">
        <v>33.4</v>
      </c>
      <c r="M89" s="1" t="s">
        <v>114</v>
      </c>
      <c r="N89" s="1">
        <v>33.4</v>
      </c>
      <c r="O89" s="1" t="s">
        <v>114</v>
      </c>
      <c r="P89" s="1">
        <v>33.4</v>
      </c>
      <c r="Q89" s="1" t="s">
        <v>114</v>
      </c>
      <c r="R89" s="1">
        <v>33.4</v>
      </c>
      <c r="S89" s="1" t="s">
        <v>114</v>
      </c>
      <c r="T89" s="1">
        <v>33.4</v>
      </c>
      <c r="U89" s="1" t="s">
        <v>114</v>
      </c>
      <c r="V89" s="1">
        <v>33.4</v>
      </c>
      <c r="W89" s="1" t="s">
        <v>114</v>
      </c>
    </row>
    <row r="90" spans="1:23" x14ac:dyDescent="0.25">
      <c r="A90" s="10" t="s">
        <v>59</v>
      </c>
      <c r="B90" s="2" t="s">
        <v>78</v>
      </c>
      <c r="C90" t="s">
        <v>33</v>
      </c>
      <c r="D90" s="1">
        <v>23.9</v>
      </c>
      <c r="E90" s="1" t="s">
        <v>114</v>
      </c>
      <c r="G90" s="1" t="s">
        <v>114</v>
      </c>
      <c r="I90" s="1" t="s">
        <v>114</v>
      </c>
      <c r="K90" s="1" t="s">
        <v>114</v>
      </c>
      <c r="M90" s="1" t="s">
        <v>114</v>
      </c>
      <c r="O90" s="1" t="s">
        <v>114</v>
      </c>
      <c r="Q90" s="1" t="s">
        <v>114</v>
      </c>
      <c r="S90" s="1" t="s">
        <v>114</v>
      </c>
      <c r="U90" s="1" t="s">
        <v>114</v>
      </c>
      <c r="W90" s="1" t="s">
        <v>114</v>
      </c>
    </row>
    <row r="91" spans="1:23" x14ac:dyDescent="0.25">
      <c r="A91" s="10" t="s">
        <v>59</v>
      </c>
      <c r="B91" t="s">
        <v>69</v>
      </c>
      <c r="C91" t="s">
        <v>50</v>
      </c>
      <c r="D91" s="1">
        <v>16</v>
      </c>
      <c r="E91" s="1" t="s">
        <v>114</v>
      </c>
      <c r="G91" s="1" t="s">
        <v>114</v>
      </c>
      <c r="I91" s="1" t="s">
        <v>114</v>
      </c>
      <c r="K91" s="1" t="s">
        <v>114</v>
      </c>
      <c r="M91" s="1" t="s">
        <v>114</v>
      </c>
      <c r="O91" s="1" t="s">
        <v>114</v>
      </c>
      <c r="Q91" s="1" t="s">
        <v>114</v>
      </c>
      <c r="S91" s="1" t="s">
        <v>114</v>
      </c>
      <c r="U91" s="1" t="s">
        <v>114</v>
      </c>
      <c r="W91" s="1" t="s">
        <v>114</v>
      </c>
    </row>
    <row r="92" spans="1:23" x14ac:dyDescent="0.25">
      <c r="A92" s="10" t="s">
        <v>59</v>
      </c>
      <c r="B92" t="s">
        <v>79</v>
      </c>
      <c r="C92" t="s">
        <v>79</v>
      </c>
      <c r="D92" s="1">
        <v>64.95</v>
      </c>
      <c r="E92" s="1" t="s">
        <v>114</v>
      </c>
      <c r="F92" s="1">
        <v>129.9</v>
      </c>
      <c r="G92" s="1" t="s">
        <v>114</v>
      </c>
      <c r="H92" s="1">
        <v>129.9</v>
      </c>
      <c r="I92" s="1" t="s">
        <v>114</v>
      </c>
      <c r="J92" s="1">
        <v>129.9</v>
      </c>
      <c r="K92" s="1" t="s">
        <v>114</v>
      </c>
      <c r="L92" s="1">
        <v>129.9</v>
      </c>
      <c r="M92" s="1" t="s">
        <v>114</v>
      </c>
      <c r="N92" s="1">
        <v>129.9</v>
      </c>
      <c r="O92" s="1" t="s">
        <v>114</v>
      </c>
      <c r="P92" s="1">
        <v>129.9</v>
      </c>
      <c r="Q92" s="1" t="s">
        <v>114</v>
      </c>
      <c r="R92" s="1">
        <v>129.9</v>
      </c>
      <c r="S92" s="1" t="s">
        <v>114</v>
      </c>
      <c r="T92" s="1">
        <v>129.9</v>
      </c>
      <c r="U92" s="1" t="s">
        <v>114</v>
      </c>
      <c r="V92" s="1">
        <v>129.9</v>
      </c>
      <c r="W92" s="1" t="s">
        <v>114</v>
      </c>
    </row>
    <row r="93" spans="1:23" x14ac:dyDescent="0.25">
      <c r="A93" s="10" t="s">
        <v>59</v>
      </c>
      <c r="B93" t="s">
        <v>80</v>
      </c>
      <c r="C93" t="s">
        <v>50</v>
      </c>
      <c r="D93" s="1">
        <v>102.8</v>
      </c>
      <c r="E93" s="1" t="s">
        <v>114</v>
      </c>
      <c r="G93" s="1" t="s">
        <v>114</v>
      </c>
      <c r="I93" s="1" t="s">
        <v>114</v>
      </c>
      <c r="K93" s="1" t="s">
        <v>114</v>
      </c>
      <c r="M93" s="1" t="s">
        <v>114</v>
      </c>
      <c r="O93" s="1" t="s">
        <v>114</v>
      </c>
      <c r="Q93" s="1" t="s">
        <v>114</v>
      </c>
      <c r="S93" s="1" t="s">
        <v>114</v>
      </c>
      <c r="U93" s="1" t="s">
        <v>114</v>
      </c>
      <c r="W93" s="1" t="s">
        <v>114</v>
      </c>
    </row>
    <row r="94" spans="1:23" x14ac:dyDescent="0.25">
      <c r="A94" s="10" t="s">
        <v>59</v>
      </c>
      <c r="B94" t="s">
        <v>81</v>
      </c>
      <c r="C94" t="s">
        <v>48</v>
      </c>
      <c r="D94" s="1">
        <v>24.58</v>
      </c>
      <c r="E94" s="1" t="s">
        <v>114</v>
      </c>
      <c r="F94" s="1">
        <v>22.64</v>
      </c>
      <c r="G94" s="1" t="s">
        <v>114</v>
      </c>
      <c r="I94" s="1" t="s">
        <v>114</v>
      </c>
      <c r="K94" s="1" t="s">
        <v>114</v>
      </c>
      <c r="M94" s="1" t="s">
        <v>114</v>
      </c>
      <c r="O94" s="1" t="s">
        <v>114</v>
      </c>
      <c r="Q94" s="1" t="s">
        <v>114</v>
      </c>
      <c r="S94" s="1" t="s">
        <v>114</v>
      </c>
      <c r="U94" s="1" t="s">
        <v>114</v>
      </c>
      <c r="W94" s="1" t="s">
        <v>114</v>
      </c>
    </row>
    <row r="95" spans="1:23" x14ac:dyDescent="0.25">
      <c r="A95" s="10" t="s">
        <v>59</v>
      </c>
      <c r="B95" t="s">
        <v>10</v>
      </c>
      <c r="C95" t="s">
        <v>10</v>
      </c>
      <c r="D95" s="1">
        <v>9.18</v>
      </c>
      <c r="E95" s="1" t="s">
        <v>114</v>
      </c>
      <c r="G95" s="1" t="s">
        <v>114</v>
      </c>
      <c r="I95" s="1" t="s">
        <v>114</v>
      </c>
      <c r="K95" s="1" t="s">
        <v>114</v>
      </c>
      <c r="M95" s="1" t="s">
        <v>114</v>
      </c>
      <c r="O95" s="1" t="s">
        <v>114</v>
      </c>
      <c r="Q95" s="1" t="s">
        <v>114</v>
      </c>
      <c r="S95" s="1" t="s">
        <v>114</v>
      </c>
      <c r="U95" s="1" t="s">
        <v>114</v>
      </c>
      <c r="W95" s="1" t="s">
        <v>114</v>
      </c>
    </row>
    <row r="96" spans="1:23" x14ac:dyDescent="0.25">
      <c r="A96" s="10" t="s">
        <v>59</v>
      </c>
      <c r="B96" t="s">
        <v>35</v>
      </c>
      <c r="C96" t="s">
        <v>35</v>
      </c>
      <c r="D96" s="1">
        <v>47</v>
      </c>
      <c r="E96" s="1" t="s">
        <v>114</v>
      </c>
      <c r="G96" s="1" t="s">
        <v>114</v>
      </c>
      <c r="I96" s="1" t="s">
        <v>114</v>
      </c>
      <c r="K96" s="1" t="s">
        <v>114</v>
      </c>
      <c r="M96" s="1" t="s">
        <v>114</v>
      </c>
      <c r="O96" s="1" t="s">
        <v>114</v>
      </c>
      <c r="Q96" s="1" t="s">
        <v>114</v>
      </c>
      <c r="S96" s="1" t="s">
        <v>114</v>
      </c>
      <c r="U96" s="1" t="s">
        <v>114</v>
      </c>
      <c r="W96" s="1" t="s">
        <v>114</v>
      </c>
    </row>
    <row r="97" spans="1:23" x14ac:dyDescent="0.25">
      <c r="A97" s="10" t="s">
        <v>59</v>
      </c>
      <c r="B97" t="s">
        <v>82</v>
      </c>
      <c r="C97" t="s">
        <v>41</v>
      </c>
      <c r="D97" s="1">
        <v>56</v>
      </c>
      <c r="E97" s="1" t="s">
        <v>114</v>
      </c>
      <c r="G97" s="1" t="s">
        <v>114</v>
      </c>
      <c r="I97" s="1" t="s">
        <v>114</v>
      </c>
      <c r="K97" s="1" t="s">
        <v>114</v>
      </c>
      <c r="M97" s="1" t="s">
        <v>114</v>
      </c>
      <c r="O97" s="1" t="s">
        <v>114</v>
      </c>
      <c r="Q97" s="1" t="s">
        <v>114</v>
      </c>
      <c r="S97" s="1" t="s">
        <v>114</v>
      </c>
      <c r="U97" s="1" t="s">
        <v>114</v>
      </c>
      <c r="W97" s="1" t="s">
        <v>114</v>
      </c>
    </row>
    <row r="98" spans="1:23" x14ac:dyDescent="0.25">
      <c r="A98" s="10" t="s">
        <v>59</v>
      </c>
      <c r="B98" t="s">
        <v>83</v>
      </c>
      <c r="C98" t="s">
        <v>50</v>
      </c>
      <c r="D98" s="1">
        <v>91.8</v>
      </c>
      <c r="E98" s="1" t="s">
        <v>114</v>
      </c>
      <c r="G98" s="1" t="s">
        <v>114</v>
      </c>
      <c r="I98" s="1" t="s">
        <v>114</v>
      </c>
      <c r="K98" s="1" t="s">
        <v>114</v>
      </c>
      <c r="M98" s="1" t="s">
        <v>114</v>
      </c>
      <c r="O98" s="1" t="s">
        <v>114</v>
      </c>
      <c r="Q98" s="1" t="s">
        <v>114</v>
      </c>
      <c r="S98" s="1" t="s">
        <v>114</v>
      </c>
      <c r="U98" s="1" t="s">
        <v>114</v>
      </c>
      <c r="W98" s="1" t="s">
        <v>114</v>
      </c>
    </row>
    <row r="99" spans="1:23" x14ac:dyDescent="0.25">
      <c r="A99" s="10" t="s">
        <v>59</v>
      </c>
      <c r="B99" t="s">
        <v>83</v>
      </c>
      <c r="C99" t="s">
        <v>50</v>
      </c>
      <c r="D99" s="1">
        <v>76.400000000000006</v>
      </c>
      <c r="E99" s="1" t="s">
        <v>114</v>
      </c>
      <c r="G99" s="1" t="s">
        <v>114</v>
      </c>
      <c r="I99" s="1" t="s">
        <v>114</v>
      </c>
      <c r="K99" s="1" t="s">
        <v>114</v>
      </c>
      <c r="M99" s="1" t="s">
        <v>114</v>
      </c>
      <c r="O99" s="1" t="s">
        <v>114</v>
      </c>
      <c r="Q99" s="1" t="s">
        <v>114</v>
      </c>
      <c r="S99" s="1" t="s">
        <v>114</v>
      </c>
      <c r="U99" s="1" t="s">
        <v>114</v>
      </c>
      <c r="W99" s="1" t="s">
        <v>114</v>
      </c>
    </row>
    <row r="100" spans="1:23" x14ac:dyDescent="0.25">
      <c r="A100" s="10" t="s">
        <v>59</v>
      </c>
      <c r="B100" t="s">
        <v>10</v>
      </c>
      <c r="C100" t="s">
        <v>10</v>
      </c>
      <c r="D100" s="1">
        <v>95.19</v>
      </c>
      <c r="E100" s="1" t="s">
        <v>114</v>
      </c>
      <c r="G100" s="1" t="s">
        <v>114</v>
      </c>
      <c r="I100" s="1" t="s">
        <v>114</v>
      </c>
      <c r="K100" s="1" t="s">
        <v>114</v>
      </c>
      <c r="M100" s="1" t="s">
        <v>114</v>
      </c>
      <c r="O100" s="1" t="s">
        <v>114</v>
      </c>
      <c r="Q100" s="1" t="s">
        <v>114</v>
      </c>
      <c r="S100" s="1" t="s">
        <v>114</v>
      </c>
      <c r="U100" s="1" t="s">
        <v>114</v>
      </c>
      <c r="W100" s="1" t="s">
        <v>114</v>
      </c>
    </row>
    <row r="101" spans="1:23" x14ac:dyDescent="0.25">
      <c r="A101" s="10" t="s">
        <v>59</v>
      </c>
      <c r="B101" s="2" t="s">
        <v>77</v>
      </c>
      <c r="C101" t="s">
        <v>33</v>
      </c>
      <c r="D101" s="1">
        <v>33.4</v>
      </c>
      <c r="E101" s="1" t="s">
        <v>114</v>
      </c>
      <c r="F101" s="1">
        <v>33.4</v>
      </c>
      <c r="G101" s="1" t="s">
        <v>114</v>
      </c>
      <c r="H101" s="1">
        <v>33.4</v>
      </c>
      <c r="I101" s="1" t="s">
        <v>114</v>
      </c>
      <c r="J101" s="1">
        <v>33.4</v>
      </c>
      <c r="K101" s="1" t="s">
        <v>114</v>
      </c>
      <c r="L101" s="1">
        <v>33.4</v>
      </c>
      <c r="M101" s="1" t="s">
        <v>114</v>
      </c>
      <c r="N101" s="1">
        <v>33.4</v>
      </c>
      <c r="O101" s="1" t="s">
        <v>114</v>
      </c>
      <c r="P101" s="1">
        <v>33.4</v>
      </c>
      <c r="Q101" s="1" t="s">
        <v>114</v>
      </c>
      <c r="R101" s="1">
        <v>33.4</v>
      </c>
      <c r="S101" s="1" t="s">
        <v>114</v>
      </c>
      <c r="T101" s="1">
        <v>33.4</v>
      </c>
      <c r="U101" s="1" t="s">
        <v>114</v>
      </c>
      <c r="V101" s="1">
        <v>33.4</v>
      </c>
      <c r="W101" s="1" t="s">
        <v>114</v>
      </c>
    </row>
    <row r="102" spans="1:23" x14ac:dyDescent="0.25">
      <c r="A102" s="10" t="s">
        <v>59</v>
      </c>
      <c r="B102" t="s">
        <v>18</v>
      </c>
      <c r="C102" t="s">
        <v>18</v>
      </c>
      <c r="D102" s="1">
        <f>19.56+55.71</f>
        <v>75.27</v>
      </c>
      <c r="E102" s="1" t="s">
        <v>114</v>
      </c>
      <c r="F102" s="1">
        <f>44.28+63.9</f>
        <v>108.18</v>
      </c>
      <c r="G102" s="1" t="s">
        <v>114</v>
      </c>
      <c r="I102" s="1" t="s">
        <v>114</v>
      </c>
      <c r="K102" s="1" t="s">
        <v>114</v>
      </c>
      <c r="M102" s="1" t="s">
        <v>114</v>
      </c>
      <c r="O102" s="1" t="s">
        <v>114</v>
      </c>
      <c r="Q102" s="1" t="s">
        <v>114</v>
      </c>
      <c r="S102" s="1" t="s">
        <v>114</v>
      </c>
      <c r="U102" s="1" t="s">
        <v>114</v>
      </c>
      <c r="W102" s="1" t="s">
        <v>114</v>
      </c>
    </row>
    <row r="103" spans="1:23" x14ac:dyDescent="0.25">
      <c r="A103" s="10" t="s">
        <v>59</v>
      </c>
      <c r="B103" t="s">
        <v>21</v>
      </c>
      <c r="C103" t="s">
        <v>48</v>
      </c>
      <c r="D103" s="1">
        <v>349.5</v>
      </c>
      <c r="E103" s="1" t="s">
        <v>114</v>
      </c>
      <c r="G103" s="1" t="s">
        <v>114</v>
      </c>
      <c r="I103" s="1" t="s">
        <v>114</v>
      </c>
      <c r="K103" s="1" t="s">
        <v>114</v>
      </c>
      <c r="M103" s="1" t="s">
        <v>114</v>
      </c>
      <c r="O103" s="1" t="s">
        <v>114</v>
      </c>
      <c r="Q103" s="1" t="s">
        <v>114</v>
      </c>
      <c r="S103" s="1" t="s">
        <v>114</v>
      </c>
      <c r="U103" s="1" t="s">
        <v>114</v>
      </c>
      <c r="W103" s="1" t="s">
        <v>114</v>
      </c>
    </row>
    <row r="104" spans="1:23" x14ac:dyDescent="0.25">
      <c r="A104" s="10" t="s">
        <v>59</v>
      </c>
      <c r="B104" t="s">
        <v>83</v>
      </c>
      <c r="C104" t="s">
        <v>50</v>
      </c>
      <c r="D104" s="1">
        <v>25</v>
      </c>
      <c r="E104" s="1" t="s">
        <v>114</v>
      </c>
      <c r="F104" s="1">
        <f>52.2+63</f>
        <v>115.2</v>
      </c>
      <c r="G104" s="1" t="s">
        <v>114</v>
      </c>
      <c r="I104" s="1" t="s">
        <v>114</v>
      </c>
      <c r="K104" s="1" t="s">
        <v>114</v>
      </c>
      <c r="M104" s="1" t="s">
        <v>114</v>
      </c>
      <c r="O104" s="1" t="s">
        <v>114</v>
      </c>
      <c r="Q104" s="1" t="s">
        <v>114</v>
      </c>
      <c r="S104" s="1" t="s">
        <v>114</v>
      </c>
      <c r="U104" s="1" t="s">
        <v>114</v>
      </c>
      <c r="W104" s="1" t="s">
        <v>114</v>
      </c>
    </row>
    <row r="105" spans="1:23" x14ac:dyDescent="0.25">
      <c r="A105" s="10" t="s">
        <v>59</v>
      </c>
      <c r="B105" t="s">
        <v>18</v>
      </c>
      <c r="C105" t="s">
        <v>18</v>
      </c>
      <c r="D105" s="1">
        <v>70.010000000000005</v>
      </c>
      <c r="E105" s="1" t="s">
        <v>114</v>
      </c>
      <c r="F105" s="1">
        <v>196.12</v>
      </c>
      <c r="G105" s="1" t="s">
        <v>114</v>
      </c>
      <c r="I105" s="1" t="s">
        <v>114</v>
      </c>
      <c r="K105" s="1" t="s">
        <v>114</v>
      </c>
      <c r="M105" s="1" t="s">
        <v>114</v>
      </c>
      <c r="O105" s="1" t="s">
        <v>114</v>
      </c>
      <c r="Q105" s="1" t="s">
        <v>114</v>
      </c>
      <c r="S105" s="1" t="s">
        <v>114</v>
      </c>
      <c r="U105" s="1" t="s">
        <v>114</v>
      </c>
      <c r="W105" s="1" t="s">
        <v>114</v>
      </c>
    </row>
    <row r="106" spans="1:23" x14ac:dyDescent="0.25">
      <c r="A106" s="10" t="s">
        <v>59</v>
      </c>
      <c r="B106" t="s">
        <v>18</v>
      </c>
      <c r="C106" t="s">
        <v>18</v>
      </c>
      <c r="D106" s="1">
        <v>77.66</v>
      </c>
      <c r="E106" s="1" t="s">
        <v>114</v>
      </c>
      <c r="F106" s="1">
        <v>86.74</v>
      </c>
      <c r="G106" s="1" t="s">
        <v>114</v>
      </c>
      <c r="I106" s="1" t="s">
        <v>114</v>
      </c>
      <c r="K106" s="1" t="s">
        <v>114</v>
      </c>
      <c r="M106" s="1" t="s">
        <v>114</v>
      </c>
      <c r="O106" s="1" t="s">
        <v>114</v>
      </c>
      <c r="Q106" s="1" t="s">
        <v>114</v>
      </c>
      <c r="S106" s="1" t="s">
        <v>114</v>
      </c>
      <c r="U106" s="1" t="s">
        <v>114</v>
      </c>
      <c r="W106" s="1" t="s">
        <v>114</v>
      </c>
    </row>
    <row r="107" spans="1:23" x14ac:dyDescent="0.25">
      <c r="A107" s="10" t="s">
        <v>59</v>
      </c>
      <c r="B107" t="s">
        <v>10</v>
      </c>
      <c r="C107" t="s">
        <v>10</v>
      </c>
      <c r="D107" s="1">
        <v>43.39</v>
      </c>
      <c r="E107" s="1" t="s">
        <v>114</v>
      </c>
      <c r="F107" s="1">
        <v>24.18</v>
      </c>
      <c r="G107" s="1" t="s">
        <v>114</v>
      </c>
      <c r="I107" s="1" t="s">
        <v>114</v>
      </c>
      <c r="K107" s="1" t="s">
        <v>114</v>
      </c>
      <c r="M107" s="1" t="s">
        <v>114</v>
      </c>
      <c r="O107" s="1" t="s">
        <v>114</v>
      </c>
      <c r="Q107" s="1" t="s">
        <v>114</v>
      </c>
      <c r="S107" s="1" t="s">
        <v>114</v>
      </c>
      <c r="U107" s="1" t="s">
        <v>114</v>
      </c>
      <c r="W107" s="1" t="s">
        <v>114</v>
      </c>
    </row>
    <row r="108" spans="1:23" x14ac:dyDescent="0.25">
      <c r="A108" s="10" t="s">
        <v>59</v>
      </c>
      <c r="B108" t="s">
        <v>84</v>
      </c>
      <c r="C108" t="s">
        <v>38</v>
      </c>
      <c r="D108" s="1">
        <v>106.38</v>
      </c>
      <c r="E108" s="1" t="s">
        <v>114</v>
      </c>
      <c r="F108" s="1">
        <v>106.38</v>
      </c>
      <c r="G108" s="1" t="s">
        <v>114</v>
      </c>
      <c r="H108" s="1">
        <v>106.38</v>
      </c>
      <c r="I108" s="1" t="s">
        <v>114</v>
      </c>
      <c r="K108" s="1" t="s">
        <v>114</v>
      </c>
      <c r="M108" s="1" t="s">
        <v>114</v>
      </c>
      <c r="O108" s="1" t="s">
        <v>114</v>
      </c>
      <c r="Q108" s="1" t="s">
        <v>114</v>
      </c>
      <c r="S108" s="1" t="s">
        <v>114</v>
      </c>
      <c r="U108" s="1" t="s">
        <v>114</v>
      </c>
      <c r="W108" s="1" t="s">
        <v>114</v>
      </c>
    </row>
    <row r="109" spans="1:23" x14ac:dyDescent="0.25">
      <c r="A109" s="10" t="s">
        <v>59</v>
      </c>
      <c r="B109" t="s">
        <v>85</v>
      </c>
      <c r="C109" t="s">
        <v>41</v>
      </c>
      <c r="D109" s="1">
        <v>119.49</v>
      </c>
      <c r="E109" s="1" t="s">
        <v>114</v>
      </c>
      <c r="F109" s="1">
        <v>119.49</v>
      </c>
      <c r="G109" s="1" t="s">
        <v>114</v>
      </c>
      <c r="I109" s="1" t="s">
        <v>114</v>
      </c>
      <c r="K109" s="1" t="s">
        <v>114</v>
      </c>
      <c r="M109" s="1" t="s">
        <v>114</v>
      </c>
      <c r="O109" s="1" t="s">
        <v>114</v>
      </c>
      <c r="Q109" s="1" t="s">
        <v>114</v>
      </c>
      <c r="S109" s="1" t="s">
        <v>114</v>
      </c>
      <c r="U109" s="1" t="s">
        <v>114</v>
      </c>
      <c r="W109" s="1" t="s">
        <v>114</v>
      </c>
    </row>
    <row r="110" spans="1:23" x14ac:dyDescent="0.25">
      <c r="A110" s="10" t="s">
        <v>59</v>
      </c>
      <c r="B110" t="s">
        <v>86</v>
      </c>
      <c r="C110" t="s">
        <v>41</v>
      </c>
      <c r="D110" s="1">
        <v>86.32</v>
      </c>
      <c r="E110" s="1" t="s">
        <v>114</v>
      </c>
      <c r="F110" s="1">
        <v>86.32</v>
      </c>
      <c r="G110" s="1" t="s">
        <v>114</v>
      </c>
      <c r="I110" s="1" t="s">
        <v>114</v>
      </c>
      <c r="K110" s="1" t="s">
        <v>114</v>
      </c>
      <c r="M110" s="1" t="s">
        <v>114</v>
      </c>
      <c r="O110" s="1" t="s">
        <v>114</v>
      </c>
      <c r="Q110" s="1" t="s">
        <v>114</v>
      </c>
      <c r="S110" s="1" t="s">
        <v>114</v>
      </c>
      <c r="U110" s="1" t="s">
        <v>114</v>
      </c>
      <c r="W110" s="1" t="s">
        <v>114</v>
      </c>
    </row>
    <row r="111" spans="1:23" x14ac:dyDescent="0.25">
      <c r="A111" s="10" t="s">
        <v>59</v>
      </c>
      <c r="B111" t="s">
        <v>87</v>
      </c>
      <c r="C111" t="s">
        <v>36</v>
      </c>
      <c r="D111" s="1">
        <v>273.27999999999997</v>
      </c>
      <c r="E111" s="1" t="s">
        <v>114</v>
      </c>
      <c r="F111" s="1">
        <v>273.27999999999997</v>
      </c>
      <c r="G111" s="1" t="s">
        <v>114</v>
      </c>
      <c r="H111" s="1">
        <v>273.27999999999997</v>
      </c>
      <c r="I111" s="1" t="s">
        <v>114</v>
      </c>
      <c r="J111" s="1">
        <v>273.27999999999997</v>
      </c>
      <c r="K111" s="1" t="s">
        <v>114</v>
      </c>
      <c r="L111" s="1">
        <v>273.27999999999997</v>
      </c>
      <c r="M111" s="1" t="s">
        <v>114</v>
      </c>
      <c r="N111" s="1">
        <v>273.27999999999997</v>
      </c>
      <c r="O111" s="1" t="s">
        <v>114</v>
      </c>
      <c r="Q111" s="1" t="s">
        <v>114</v>
      </c>
      <c r="S111" s="1" t="s">
        <v>114</v>
      </c>
      <c r="U111" s="1" t="s">
        <v>114</v>
      </c>
      <c r="W111" s="1" t="s">
        <v>114</v>
      </c>
    </row>
    <row r="112" spans="1:23" x14ac:dyDescent="0.25">
      <c r="A112" s="10" t="s">
        <v>59</v>
      </c>
      <c r="B112" t="s">
        <v>88</v>
      </c>
      <c r="C112" t="s">
        <v>37</v>
      </c>
      <c r="D112" s="1">
        <v>46.87</v>
      </c>
      <c r="E112" s="1" t="s">
        <v>114</v>
      </c>
      <c r="F112" s="1">
        <v>46.87</v>
      </c>
      <c r="G112" s="1" t="s">
        <v>114</v>
      </c>
      <c r="I112" s="1" t="s">
        <v>114</v>
      </c>
      <c r="K112" s="1" t="s">
        <v>114</v>
      </c>
      <c r="M112" s="1" t="s">
        <v>114</v>
      </c>
      <c r="O112" s="1" t="s">
        <v>114</v>
      </c>
      <c r="Q112" s="1" t="s">
        <v>114</v>
      </c>
      <c r="S112" s="1" t="s">
        <v>114</v>
      </c>
      <c r="U112" s="1" t="s">
        <v>114</v>
      </c>
      <c r="W112" s="1" t="s">
        <v>114</v>
      </c>
    </row>
    <row r="113" spans="1:23" x14ac:dyDescent="0.25">
      <c r="A113" s="10" t="s">
        <v>59</v>
      </c>
      <c r="B113" t="s">
        <v>89</v>
      </c>
      <c r="C113" t="s">
        <v>46</v>
      </c>
      <c r="D113" s="1">
        <v>364</v>
      </c>
      <c r="E113" s="1" t="s">
        <v>114</v>
      </c>
      <c r="F113" s="1">
        <v>364</v>
      </c>
      <c r="G113" s="1" t="s">
        <v>114</v>
      </c>
      <c r="H113" s="1">
        <v>364</v>
      </c>
      <c r="I113" s="1" t="s">
        <v>114</v>
      </c>
      <c r="J113" s="1">
        <v>364</v>
      </c>
      <c r="K113" s="1" t="s">
        <v>114</v>
      </c>
      <c r="L113" s="1">
        <v>364</v>
      </c>
      <c r="M113" s="1" t="s">
        <v>114</v>
      </c>
      <c r="N113" s="1">
        <v>364</v>
      </c>
      <c r="O113" s="1" t="s">
        <v>114</v>
      </c>
      <c r="P113" s="1">
        <v>364</v>
      </c>
      <c r="Q113" s="1" t="s">
        <v>114</v>
      </c>
      <c r="R113" s="1">
        <v>364</v>
      </c>
      <c r="S113" s="1" t="s">
        <v>114</v>
      </c>
      <c r="T113" s="1">
        <v>364</v>
      </c>
      <c r="U113" s="1" t="s">
        <v>114</v>
      </c>
      <c r="W113" s="1" t="s">
        <v>114</v>
      </c>
    </row>
    <row r="114" spans="1:23" x14ac:dyDescent="0.25">
      <c r="A114" s="10" t="s">
        <v>59</v>
      </c>
      <c r="B114" t="s">
        <v>90</v>
      </c>
      <c r="C114" t="s">
        <v>41</v>
      </c>
      <c r="D114" s="1">
        <v>40.97</v>
      </c>
      <c r="E114" s="1" t="s">
        <v>114</v>
      </c>
      <c r="F114" s="1">
        <v>40.97</v>
      </c>
      <c r="G114" s="1" t="s">
        <v>114</v>
      </c>
      <c r="H114" s="1">
        <v>40.97</v>
      </c>
      <c r="I114" s="1" t="s">
        <v>114</v>
      </c>
      <c r="J114" s="1">
        <v>40.97</v>
      </c>
      <c r="K114" s="1" t="s">
        <v>114</v>
      </c>
      <c r="L114" s="1">
        <v>40.97</v>
      </c>
      <c r="M114" s="1" t="s">
        <v>114</v>
      </c>
      <c r="N114" s="1">
        <v>40.97</v>
      </c>
      <c r="O114" s="1" t="s">
        <v>114</v>
      </c>
      <c r="P114" s="1">
        <v>40.97</v>
      </c>
      <c r="Q114" s="1" t="s">
        <v>114</v>
      </c>
      <c r="S114" s="1" t="s">
        <v>114</v>
      </c>
      <c r="U114" s="1" t="s">
        <v>114</v>
      </c>
      <c r="W114" s="1" t="s">
        <v>114</v>
      </c>
    </row>
    <row r="115" spans="1:23" x14ac:dyDescent="0.25">
      <c r="A115" s="10" t="s">
        <v>59</v>
      </c>
      <c r="B115" t="s">
        <v>10</v>
      </c>
      <c r="C115" t="s">
        <v>10</v>
      </c>
      <c r="D115" s="1">
        <v>48.6</v>
      </c>
      <c r="E115" s="1" t="s">
        <v>114</v>
      </c>
      <c r="F115" s="1">
        <v>48.6</v>
      </c>
      <c r="G115" s="1" t="s">
        <v>114</v>
      </c>
      <c r="H115" s="1">
        <v>48.6</v>
      </c>
      <c r="I115" s="1" t="s">
        <v>114</v>
      </c>
      <c r="K115" s="1" t="s">
        <v>114</v>
      </c>
      <c r="M115" s="1" t="s">
        <v>114</v>
      </c>
      <c r="O115" s="1" t="s">
        <v>114</v>
      </c>
      <c r="Q115" s="1" t="s">
        <v>114</v>
      </c>
      <c r="S115" s="1" t="s">
        <v>114</v>
      </c>
      <c r="U115" s="1" t="s">
        <v>114</v>
      </c>
      <c r="W115" s="1" t="s">
        <v>114</v>
      </c>
    </row>
    <row r="116" spans="1:23" x14ac:dyDescent="0.25">
      <c r="A116" s="10" t="s">
        <v>59</v>
      </c>
      <c r="B116" t="s">
        <v>35</v>
      </c>
      <c r="C116" t="s">
        <v>35</v>
      </c>
      <c r="D116" s="1">
        <v>73</v>
      </c>
      <c r="E116" s="1" t="s">
        <v>114</v>
      </c>
      <c r="F116" s="1">
        <v>73</v>
      </c>
      <c r="G116" s="1" t="s">
        <v>114</v>
      </c>
      <c r="H116" s="1">
        <v>73</v>
      </c>
      <c r="I116" s="1" t="s">
        <v>114</v>
      </c>
      <c r="K116" s="1" t="s">
        <v>114</v>
      </c>
      <c r="M116" s="1" t="s">
        <v>114</v>
      </c>
      <c r="O116" s="1" t="s">
        <v>114</v>
      </c>
      <c r="Q116" s="1" t="s">
        <v>114</v>
      </c>
      <c r="S116" s="1" t="s">
        <v>114</v>
      </c>
      <c r="U116" s="1" t="s">
        <v>114</v>
      </c>
      <c r="W116" s="1" t="s">
        <v>114</v>
      </c>
    </row>
    <row r="117" spans="1:23" x14ac:dyDescent="0.25">
      <c r="A117" s="13" t="s">
        <v>59</v>
      </c>
      <c r="B117" t="s">
        <v>96</v>
      </c>
      <c r="C117" t="s">
        <v>38</v>
      </c>
      <c r="D117" s="1">
        <v>57.97</v>
      </c>
      <c r="E117" s="1" t="s">
        <v>114</v>
      </c>
      <c r="G117" s="1" t="s">
        <v>114</v>
      </c>
      <c r="I117" s="1" t="s">
        <v>114</v>
      </c>
      <c r="K117" s="1" t="s">
        <v>114</v>
      </c>
      <c r="M117" s="1" t="s">
        <v>114</v>
      </c>
      <c r="O117" s="1" t="s">
        <v>114</v>
      </c>
      <c r="Q117" s="1" t="s">
        <v>114</v>
      </c>
      <c r="S117" s="1" t="s">
        <v>114</v>
      </c>
      <c r="U117" s="1" t="s">
        <v>114</v>
      </c>
      <c r="W117" s="1" t="s">
        <v>114</v>
      </c>
    </row>
    <row r="118" spans="1:23" x14ac:dyDescent="0.25">
      <c r="A118" s="4" t="s">
        <v>0</v>
      </c>
      <c r="B118" t="s">
        <v>0</v>
      </c>
      <c r="C118" t="s">
        <v>98</v>
      </c>
      <c r="D118" s="1">
        <v>4500</v>
      </c>
      <c r="E118" s="1" t="s">
        <v>114</v>
      </c>
      <c r="F118" s="1">
        <v>4500</v>
      </c>
      <c r="G118" s="1" t="s">
        <v>114</v>
      </c>
      <c r="H118" s="1">
        <v>4500</v>
      </c>
      <c r="I118" s="1" t="s">
        <v>114</v>
      </c>
      <c r="J118" s="1">
        <v>4500</v>
      </c>
      <c r="K118" s="1" t="s">
        <v>114</v>
      </c>
      <c r="L118" s="1">
        <v>4500</v>
      </c>
      <c r="M118" s="1" t="s">
        <v>114</v>
      </c>
      <c r="N118" s="1">
        <v>4500</v>
      </c>
      <c r="O118" s="1" t="s">
        <v>114</v>
      </c>
      <c r="P118" s="1">
        <v>4500</v>
      </c>
      <c r="Q118" s="1" t="s">
        <v>114</v>
      </c>
      <c r="R118" s="1">
        <v>4500</v>
      </c>
      <c r="S118" s="1" t="s">
        <v>114</v>
      </c>
      <c r="T118" s="1">
        <v>4500</v>
      </c>
      <c r="U118" s="1" t="s">
        <v>114</v>
      </c>
      <c r="W118" s="1" t="s">
        <v>114</v>
      </c>
    </row>
    <row r="119" spans="1:23" x14ac:dyDescent="0.25">
      <c r="A119" s="4" t="s">
        <v>99</v>
      </c>
      <c r="B119" t="s">
        <v>99</v>
      </c>
      <c r="C119" t="s">
        <v>99</v>
      </c>
      <c r="D119" s="1">
        <v>235.96</v>
      </c>
      <c r="E119" s="1" t="s">
        <v>113</v>
      </c>
      <c r="F119" s="1">
        <v>248.94</v>
      </c>
      <c r="G119" s="1" t="s">
        <v>114</v>
      </c>
      <c r="H119" s="1">
        <v>248.94</v>
      </c>
      <c r="I119" s="1" t="s">
        <v>114</v>
      </c>
      <c r="J119" s="1">
        <v>248.94</v>
      </c>
      <c r="K119" s="1" t="s">
        <v>114</v>
      </c>
      <c r="L119" s="1">
        <v>248.94</v>
      </c>
      <c r="M119" s="1" t="s">
        <v>114</v>
      </c>
      <c r="N119" s="1">
        <v>248.94</v>
      </c>
      <c r="O119" s="1" t="s">
        <v>114</v>
      </c>
      <c r="P119" s="1">
        <v>248.94</v>
      </c>
      <c r="Q119" s="1" t="s">
        <v>114</v>
      </c>
      <c r="R119" s="1">
        <v>248.94</v>
      </c>
      <c r="S119" s="1" t="s">
        <v>114</v>
      </c>
      <c r="T119" s="1">
        <v>248.94</v>
      </c>
      <c r="U119" s="1" t="s">
        <v>114</v>
      </c>
      <c r="W119" s="1" t="s">
        <v>114</v>
      </c>
    </row>
    <row r="120" spans="1:23" x14ac:dyDescent="0.25">
      <c r="A120" s="4" t="s">
        <v>100</v>
      </c>
      <c r="B120" t="s">
        <v>100</v>
      </c>
      <c r="C120" t="s">
        <v>100</v>
      </c>
      <c r="D120" s="1">
        <v>58.79</v>
      </c>
      <c r="E120" s="1" t="s">
        <v>114</v>
      </c>
      <c r="F120" s="1">
        <v>58.79</v>
      </c>
      <c r="G120" s="1" t="s">
        <v>114</v>
      </c>
      <c r="H120" s="1">
        <v>58.79</v>
      </c>
      <c r="I120" s="1" t="s">
        <v>114</v>
      </c>
      <c r="J120" s="1">
        <v>58.79</v>
      </c>
      <c r="K120" s="1" t="s">
        <v>114</v>
      </c>
      <c r="L120" s="1">
        <v>58.79</v>
      </c>
      <c r="M120" s="1" t="s">
        <v>114</v>
      </c>
      <c r="N120" s="1">
        <v>58.79</v>
      </c>
      <c r="O120" s="1" t="s">
        <v>114</v>
      </c>
      <c r="P120" s="1">
        <v>58.79</v>
      </c>
      <c r="Q120" s="1" t="s">
        <v>114</v>
      </c>
      <c r="R120" s="1">
        <v>58.79</v>
      </c>
      <c r="S120" s="1" t="s">
        <v>114</v>
      </c>
      <c r="T120" s="1">
        <v>58.79</v>
      </c>
      <c r="U120" s="1" t="s">
        <v>114</v>
      </c>
      <c r="W120" s="1" t="s">
        <v>114</v>
      </c>
    </row>
    <row r="121" spans="1:23" x14ac:dyDescent="0.25">
      <c r="A121" s="4" t="s">
        <v>101</v>
      </c>
      <c r="B121" t="s">
        <v>101</v>
      </c>
      <c r="C121" t="s">
        <v>101</v>
      </c>
      <c r="D121" s="1">
        <v>119</v>
      </c>
      <c r="E121" s="1" t="s">
        <v>114</v>
      </c>
      <c r="F121" s="1">
        <v>119</v>
      </c>
      <c r="G121" s="1" t="s">
        <v>114</v>
      </c>
      <c r="H121" s="1">
        <v>119</v>
      </c>
      <c r="I121" s="1" t="s">
        <v>114</v>
      </c>
      <c r="J121" s="1">
        <v>119</v>
      </c>
      <c r="K121" s="1" t="s">
        <v>114</v>
      </c>
      <c r="L121" s="1">
        <v>119</v>
      </c>
      <c r="M121" s="1" t="s">
        <v>114</v>
      </c>
      <c r="N121" s="1">
        <v>119</v>
      </c>
      <c r="O121" s="1" t="s">
        <v>114</v>
      </c>
      <c r="P121" s="1">
        <v>119</v>
      </c>
      <c r="Q121" s="1" t="s">
        <v>114</v>
      </c>
      <c r="R121" s="1">
        <v>119</v>
      </c>
      <c r="S121" s="1" t="s">
        <v>114</v>
      </c>
      <c r="T121" s="1">
        <v>119</v>
      </c>
      <c r="U121" s="1" t="s">
        <v>114</v>
      </c>
      <c r="W121" s="1" t="s">
        <v>114</v>
      </c>
    </row>
    <row r="122" spans="1:23" x14ac:dyDescent="0.25">
      <c r="A122" s="4" t="s">
        <v>102</v>
      </c>
      <c r="B122" t="s">
        <v>102</v>
      </c>
      <c r="C122" t="s">
        <v>102</v>
      </c>
      <c r="D122" s="1">
        <v>650</v>
      </c>
      <c r="E122" s="1" t="s">
        <v>114</v>
      </c>
      <c r="F122" s="1">
        <v>650</v>
      </c>
      <c r="G122" s="1" t="s">
        <v>114</v>
      </c>
      <c r="H122" s="1">
        <v>650</v>
      </c>
      <c r="I122" s="1" t="s">
        <v>114</v>
      </c>
      <c r="J122" s="1">
        <v>650</v>
      </c>
      <c r="K122" s="1" t="s">
        <v>114</v>
      </c>
      <c r="L122" s="1">
        <v>650</v>
      </c>
      <c r="M122" s="1" t="s">
        <v>114</v>
      </c>
      <c r="N122" s="1">
        <v>650</v>
      </c>
      <c r="O122" s="1" t="s">
        <v>114</v>
      </c>
      <c r="P122" s="1">
        <v>650</v>
      </c>
      <c r="Q122" s="1" t="s">
        <v>114</v>
      </c>
      <c r="R122" s="1">
        <v>650</v>
      </c>
      <c r="S122" s="1" t="s">
        <v>114</v>
      </c>
      <c r="T122" s="1">
        <v>650</v>
      </c>
      <c r="U122" s="1" t="s">
        <v>114</v>
      </c>
      <c r="W122" s="1" t="s">
        <v>114</v>
      </c>
    </row>
    <row r="123" spans="1:23" x14ac:dyDescent="0.25">
      <c r="A123" s="4" t="s">
        <v>103</v>
      </c>
      <c r="B123" t="s">
        <v>103</v>
      </c>
      <c r="C123" t="s">
        <v>103</v>
      </c>
      <c r="D123" s="1">
        <v>1300</v>
      </c>
      <c r="E123" s="1" t="s">
        <v>114</v>
      </c>
      <c r="F123" s="1">
        <v>1300</v>
      </c>
      <c r="G123" s="1" t="s">
        <v>114</v>
      </c>
      <c r="H123" s="1">
        <v>1300</v>
      </c>
      <c r="I123" s="1" t="s">
        <v>114</v>
      </c>
      <c r="J123" s="1">
        <v>1300</v>
      </c>
      <c r="K123" s="1" t="s">
        <v>114</v>
      </c>
      <c r="L123" s="1">
        <v>1300</v>
      </c>
      <c r="M123" s="1" t="s">
        <v>114</v>
      </c>
      <c r="N123" s="1">
        <v>1300</v>
      </c>
      <c r="O123" s="1" t="s">
        <v>114</v>
      </c>
      <c r="P123" s="1">
        <v>1300</v>
      </c>
      <c r="Q123" s="1" t="s">
        <v>114</v>
      </c>
      <c r="R123" s="1">
        <v>1300</v>
      </c>
      <c r="S123" s="1" t="s">
        <v>114</v>
      </c>
      <c r="T123" s="1">
        <v>1300</v>
      </c>
      <c r="U123" s="1" t="s">
        <v>114</v>
      </c>
      <c r="W123" s="1" t="s">
        <v>114</v>
      </c>
    </row>
    <row r="124" spans="1:23" x14ac:dyDescent="0.25">
      <c r="A124" s="4" t="s">
        <v>104</v>
      </c>
      <c r="B124" t="s">
        <v>104</v>
      </c>
      <c r="C124" t="s">
        <v>104</v>
      </c>
      <c r="D124" s="1">
        <v>590</v>
      </c>
      <c r="E124" s="1" t="s">
        <v>113</v>
      </c>
      <c r="F124" s="1">
        <v>525.92999999999995</v>
      </c>
      <c r="G124" s="1" t="s">
        <v>114</v>
      </c>
      <c r="H124" s="1">
        <v>525.92999999999995</v>
      </c>
      <c r="I124" s="1" t="s">
        <v>114</v>
      </c>
      <c r="J124" s="1">
        <v>525.92999999999995</v>
      </c>
      <c r="K124" s="1" t="s">
        <v>114</v>
      </c>
      <c r="L124" s="1">
        <v>309.75</v>
      </c>
      <c r="M124" s="1" t="s">
        <v>114</v>
      </c>
      <c r="N124" s="1">
        <v>195.84</v>
      </c>
      <c r="O124" s="1" t="s">
        <v>114</v>
      </c>
      <c r="P124" s="1">
        <v>155.88</v>
      </c>
      <c r="Q124" s="1" t="s">
        <v>114</v>
      </c>
      <c r="R124" s="1">
        <v>68.989999999999995</v>
      </c>
      <c r="S124" s="1" t="s">
        <v>114</v>
      </c>
      <c r="T124" s="1">
        <v>68</v>
      </c>
      <c r="U124" s="1" t="s">
        <v>114</v>
      </c>
      <c r="W124" s="1" t="s">
        <v>114</v>
      </c>
    </row>
    <row r="125" spans="1:23" x14ac:dyDescent="0.25">
      <c r="A125" s="4" t="s">
        <v>105</v>
      </c>
      <c r="B125" t="s">
        <v>105</v>
      </c>
      <c r="C125" t="s">
        <v>105</v>
      </c>
      <c r="D125" s="1">
        <v>113.17</v>
      </c>
      <c r="E125" s="1" t="s">
        <v>113</v>
      </c>
      <c r="F125" s="1">
        <v>113.17</v>
      </c>
      <c r="G125" s="1" t="s">
        <v>114</v>
      </c>
      <c r="H125" s="1">
        <v>113.17</v>
      </c>
      <c r="I125" s="1" t="s">
        <v>114</v>
      </c>
      <c r="J125" s="1">
        <v>113.17</v>
      </c>
      <c r="K125" s="1" t="s">
        <v>114</v>
      </c>
      <c r="M125" s="1" t="s">
        <v>114</v>
      </c>
      <c r="O125" s="1" t="s">
        <v>114</v>
      </c>
      <c r="Q125" s="1" t="s">
        <v>114</v>
      </c>
      <c r="S125" s="1" t="s">
        <v>114</v>
      </c>
      <c r="U125" s="1" t="s">
        <v>114</v>
      </c>
      <c r="W125" s="1" t="s">
        <v>114</v>
      </c>
    </row>
    <row r="126" spans="1:23" x14ac:dyDescent="0.25">
      <c r="A126" s="4" t="s">
        <v>106</v>
      </c>
      <c r="B126" t="s">
        <v>106</v>
      </c>
      <c r="C126" t="s">
        <v>106</v>
      </c>
      <c r="D126" s="1">
        <v>3335.04</v>
      </c>
      <c r="E126" s="1" t="s">
        <v>113</v>
      </c>
      <c r="F126" s="1">
        <v>3335.04</v>
      </c>
      <c r="G126" s="1" t="s">
        <v>114</v>
      </c>
      <c r="H126" s="1">
        <v>3335.04</v>
      </c>
      <c r="I126" s="1" t="s">
        <v>114</v>
      </c>
      <c r="J126" s="1">
        <v>3335.04</v>
      </c>
      <c r="K126" s="1" t="s">
        <v>114</v>
      </c>
      <c r="L126" s="1">
        <v>3335.04</v>
      </c>
      <c r="M126" s="1" t="s">
        <v>114</v>
      </c>
      <c r="N126" s="1">
        <v>3335.04</v>
      </c>
      <c r="O126" s="1" t="s">
        <v>114</v>
      </c>
      <c r="P126" s="1">
        <v>3335.04</v>
      </c>
      <c r="Q126" s="1" t="s">
        <v>114</v>
      </c>
      <c r="R126" s="1">
        <v>3335.04</v>
      </c>
      <c r="S126" s="1" t="s">
        <v>114</v>
      </c>
      <c r="T126" s="1">
        <v>3335.04</v>
      </c>
      <c r="U126" s="1" t="s">
        <v>114</v>
      </c>
      <c r="W126" s="1" t="s">
        <v>114</v>
      </c>
    </row>
    <row r="127" spans="1:23" x14ac:dyDescent="0.25">
      <c r="A127" s="4" t="s">
        <v>107</v>
      </c>
      <c r="B127" t="s">
        <v>107</v>
      </c>
      <c r="C127" t="s">
        <v>107</v>
      </c>
      <c r="D127" s="1">
        <v>1050</v>
      </c>
      <c r="E127" s="1" t="s">
        <v>114</v>
      </c>
      <c r="F127" s="1">
        <v>1050</v>
      </c>
      <c r="G127" s="1" t="s">
        <v>114</v>
      </c>
      <c r="H127" s="1">
        <v>1050</v>
      </c>
      <c r="I127" s="1" t="s">
        <v>114</v>
      </c>
      <c r="J127" s="1">
        <v>1050</v>
      </c>
      <c r="K127" s="1" t="s">
        <v>114</v>
      </c>
      <c r="L127" s="1">
        <v>1050</v>
      </c>
      <c r="M127" s="1" t="s">
        <v>114</v>
      </c>
      <c r="N127" s="1">
        <v>1050</v>
      </c>
      <c r="O127" s="1" t="s">
        <v>114</v>
      </c>
      <c r="P127" s="1">
        <v>1050</v>
      </c>
      <c r="Q127" s="1" t="s">
        <v>114</v>
      </c>
      <c r="R127" s="1">
        <v>1050</v>
      </c>
      <c r="S127" s="1" t="s">
        <v>114</v>
      </c>
      <c r="T127" s="1">
        <v>1050</v>
      </c>
      <c r="U127" s="1" t="s">
        <v>114</v>
      </c>
      <c r="W127" s="1" t="s">
        <v>114</v>
      </c>
    </row>
    <row r="128" spans="1:23" x14ac:dyDescent="0.25">
      <c r="A128" s="4" t="s">
        <v>108</v>
      </c>
      <c r="B128" t="s">
        <v>108</v>
      </c>
      <c r="C128" t="s">
        <v>108</v>
      </c>
      <c r="D128" s="1">
        <v>3520.32</v>
      </c>
      <c r="E128" s="1" t="s">
        <v>114</v>
      </c>
      <c r="F128" s="1">
        <v>3520.32</v>
      </c>
      <c r="G128" s="1" t="s">
        <v>114</v>
      </c>
      <c r="H128" s="1">
        <v>3520.32</v>
      </c>
      <c r="I128" s="1" t="s">
        <v>114</v>
      </c>
      <c r="J128" s="1">
        <v>3520.32</v>
      </c>
      <c r="K128" s="1" t="s">
        <v>114</v>
      </c>
      <c r="L128" s="1">
        <v>3520.32</v>
      </c>
      <c r="M128" s="1" t="s">
        <v>114</v>
      </c>
      <c r="N128" s="1">
        <v>3520.32</v>
      </c>
      <c r="O128" s="1" t="s">
        <v>114</v>
      </c>
      <c r="P128" s="1">
        <v>3520.32</v>
      </c>
      <c r="Q128" s="1" t="s">
        <v>114</v>
      </c>
      <c r="R128" s="1">
        <v>3520.32</v>
      </c>
      <c r="S128" s="1" t="s">
        <v>114</v>
      </c>
      <c r="T128" s="1">
        <v>3520.32</v>
      </c>
      <c r="U128" s="1" t="s">
        <v>114</v>
      </c>
      <c r="W128" s="1" t="s">
        <v>114</v>
      </c>
    </row>
    <row r="129" spans="1:23" x14ac:dyDescent="0.25">
      <c r="A129" s="4" t="s">
        <v>110</v>
      </c>
      <c r="B129" s="11" t="s">
        <v>110</v>
      </c>
      <c r="C129" s="11" t="s">
        <v>110</v>
      </c>
      <c r="D129" s="1">
        <v>198</v>
      </c>
      <c r="E129" s="1" t="s">
        <v>114</v>
      </c>
      <c r="F129" s="1">
        <v>198</v>
      </c>
      <c r="G129" s="1" t="s">
        <v>114</v>
      </c>
      <c r="H129" s="1">
        <v>198</v>
      </c>
      <c r="I129" s="1" t="s">
        <v>114</v>
      </c>
      <c r="J129" s="1">
        <v>198</v>
      </c>
      <c r="K129" s="1" t="s">
        <v>114</v>
      </c>
      <c r="L129" s="1">
        <v>198</v>
      </c>
      <c r="M129" s="1" t="s">
        <v>114</v>
      </c>
      <c r="N129" s="1">
        <v>198</v>
      </c>
      <c r="O129" s="1" t="s">
        <v>114</v>
      </c>
      <c r="P129" s="1">
        <v>198</v>
      </c>
      <c r="Q129" s="1" t="s">
        <v>114</v>
      </c>
      <c r="R129" s="1">
        <v>198</v>
      </c>
      <c r="S129" s="1" t="s">
        <v>114</v>
      </c>
      <c r="T129" s="1">
        <v>198</v>
      </c>
      <c r="U129" s="1" t="s">
        <v>114</v>
      </c>
      <c r="W129" s="1" t="s">
        <v>114</v>
      </c>
    </row>
    <row r="130" spans="1:23" x14ac:dyDescent="0.25">
      <c r="A130" s="4" t="s">
        <v>111</v>
      </c>
      <c r="B130" s="11" t="s">
        <v>111</v>
      </c>
      <c r="C130" s="11" t="s">
        <v>111</v>
      </c>
      <c r="D130" s="1">
        <v>100</v>
      </c>
      <c r="E130" s="1" t="s">
        <v>114</v>
      </c>
      <c r="F130" s="1">
        <v>100</v>
      </c>
      <c r="G130" s="1" t="s">
        <v>114</v>
      </c>
      <c r="H130" s="1">
        <v>100</v>
      </c>
      <c r="I130" s="1" t="s">
        <v>114</v>
      </c>
      <c r="J130" s="1">
        <v>100</v>
      </c>
      <c r="K130" s="1" t="s">
        <v>114</v>
      </c>
      <c r="L130" s="1">
        <v>100</v>
      </c>
      <c r="M130" s="1" t="s">
        <v>114</v>
      </c>
      <c r="N130" s="1">
        <v>100</v>
      </c>
      <c r="O130" s="1" t="s">
        <v>114</v>
      </c>
      <c r="P130" s="1">
        <v>100</v>
      </c>
      <c r="Q130" s="1" t="s">
        <v>114</v>
      </c>
      <c r="R130" s="1">
        <v>100</v>
      </c>
      <c r="S130" s="1" t="s">
        <v>114</v>
      </c>
      <c r="T130" s="1">
        <v>100</v>
      </c>
      <c r="U130" s="1" t="s">
        <v>114</v>
      </c>
      <c r="W130" s="1" t="s">
        <v>114</v>
      </c>
    </row>
    <row r="131" spans="1:23" x14ac:dyDescent="0.25">
      <c r="A131" s="4" t="s">
        <v>112</v>
      </c>
      <c r="B131" s="11" t="s">
        <v>112</v>
      </c>
      <c r="C131" s="11" t="s">
        <v>112</v>
      </c>
      <c r="D131" s="1">
        <v>215</v>
      </c>
      <c r="E131" s="1" t="s">
        <v>113</v>
      </c>
      <c r="F131" s="1">
        <v>215</v>
      </c>
      <c r="G131" s="1" t="s">
        <v>114</v>
      </c>
      <c r="H131" s="1">
        <v>215</v>
      </c>
      <c r="I131" s="1" t="s">
        <v>114</v>
      </c>
      <c r="J131" s="1">
        <v>215</v>
      </c>
      <c r="K131" s="1" t="s">
        <v>114</v>
      </c>
      <c r="L131" s="1">
        <v>215</v>
      </c>
      <c r="M131" s="1" t="s">
        <v>114</v>
      </c>
      <c r="N131" s="1">
        <v>215</v>
      </c>
      <c r="O131" s="1" t="s">
        <v>114</v>
      </c>
      <c r="P131" s="1">
        <v>215</v>
      </c>
      <c r="Q131" s="1" t="s">
        <v>114</v>
      </c>
      <c r="R131" s="1">
        <v>215</v>
      </c>
      <c r="S131" s="1" t="s">
        <v>114</v>
      </c>
      <c r="T131" s="1">
        <v>215</v>
      </c>
      <c r="U131" s="1" t="s">
        <v>114</v>
      </c>
      <c r="W131" s="1" t="s">
        <v>114</v>
      </c>
    </row>
  </sheetData>
  <autoFilter ref="A1:V131" xr:uid="{39F3C982-5640-459A-9C6B-9B66565339D4}"/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7785CBD-E43D-4C4B-B0CA-BBC0E07945EC}">
          <x14:formula1>
            <xm:f>Planilha5!$A$2:$A$3</xm:f>
          </x14:formula1>
          <xm:sqref>E2:E131 G2:G131 I2:I131 K2:K131 M2:M131 O2:O131 Q2:Q131 S2:S131 U2:U131 W2:W131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436CC-6FF1-4783-9E5E-88811DB18030}">
  <dimension ref="A1:A3"/>
  <sheetViews>
    <sheetView workbookViewId="0">
      <selection activeCell="A2" sqref="A2"/>
    </sheetView>
  </sheetViews>
  <sheetFormatPr defaultRowHeight="15" x14ac:dyDescent="0.25"/>
  <cols>
    <col min="1" max="1" width="12.5703125" bestFit="1" customWidth="1"/>
  </cols>
  <sheetData>
    <row r="1" spans="1:1" x14ac:dyDescent="0.25">
      <c r="A1" s="11" t="s">
        <v>115</v>
      </c>
    </row>
    <row r="2" spans="1:1" x14ac:dyDescent="0.25">
      <c r="A2" s="11" t="s">
        <v>113</v>
      </c>
    </row>
    <row r="3" spans="1:1" x14ac:dyDescent="0.25">
      <c r="A3" s="11" t="s">
        <v>114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GASTOS</vt:lpstr>
      <vt:lpstr>Planilha5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Usuário</cp:lastModifiedBy>
  <dcterms:created xsi:type="dcterms:W3CDTF">2026-04-18T16:11:51Z</dcterms:created>
  <dcterms:modified xsi:type="dcterms:W3CDTF">2026-04-18T19:23:18Z</dcterms:modified>
</cp:coreProperties>
</file>